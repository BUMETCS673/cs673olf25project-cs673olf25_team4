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3"/>
    <sheet state="visible" name="Edoardo Cavallero" sheetId="2" r:id="rId4"/>
    <sheet state="visible" name="Michael Laszlo" sheetId="3" r:id="rId5"/>
    <sheet state="visible" name="Zixuan Cheng" sheetId="4" r:id="rId6"/>
    <sheet state="visible" name="Zhehao Liao" sheetId="5" r:id="rId7"/>
    <sheet state="visible" name="Samuel Akerman" sheetId="6" r:id="rId8"/>
    <sheet state="visible" name="Greg Grimaylo" sheetId="7" r:id="rId9"/>
    <sheet state="visible" name="projectcontribution" sheetId="8" r:id="rId10"/>
  </sheets>
  <definedNames/>
  <calcPr/>
</workbook>
</file>

<file path=xl/sharedStrings.xml><?xml version="1.0" encoding="utf-8"?>
<sst xmlns="http://schemas.openxmlformats.org/spreadsheetml/2006/main" count="335" uniqueCount="209">
  <si>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</si>
  <si>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</si>
  <si>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</si>
  <si>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</si>
  <si>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</si>
  <si>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</si>
  <si>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</si>
  <si>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</si>
  <si>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</si>
  <si>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</si>
  <si>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</si>
  <si>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</si>
  <si>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</si>
  <si>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</si>
  <si>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</si>
  <si>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</si>
  <si>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</si>
  <si>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</si>
  <si>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</si>
  <si>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</si>
  <si>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</si>
  <si>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</si>
  <si>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</si>
  <si>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</si>
  <si>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09/03-09/10</t>
  </si>
  <si>
    <t>- Team composition
- Team meeting.
- Team role definition
- Project selection
- High level requirement definition
- Tech stack discussion and determination
- Github teams and repo creation.
- Github lab1 branch creation</t>
  </si>
  <si>
    <t>Minor issues setting up SSH keys for github repo.</t>
  </si>
  <si>
    <t>None</t>
  </si>
  <si>
    <t>- Continue setting up the environment. Next step will be setting up CI/CD pipeline.
- Setting up Jira
- Refine requirements
- Come up with first architectural design</t>
  </si>
  <si>
    <t>09/10-09/21</t>
  </si>
  <si>
    <t>- CI/CD pipeline, including linter, formatting, security checks and unit tests
- Test and prod environments, using AWS
- Selection of two event APIs to work with: Jambase and Ticketmaster
- Implementation of wrapper classes to call these APIs
- Implementation of a first draft of UI
- Good practices: we all worked on our own feature branches, issuing pull requests to merge to master when work complete
- Collaborated to decide path forward
- Collaborated to help each other troubleshooting issues.</t>
  </si>
  <si>
    <t>- Issues setting deployment plan on Google Cloud Run. Pivotted to single instance on AWS.
- Namespace issues preventing completion of unit tests. Had to rename some directories.</t>
  </si>
  <si>
    <t>- With all the components in place (frontend/backend/API services), we now need to integrate them 
- Implement AI service
- Refine UI</t>
  </si>
  <si>
    <t>09/22-10/06</t>
  </si>
  <si>
    <t>- HTTPS support for all services that compose our app.
- Redesign of the UI
- Integration of backend and frontend
- Integration of new AI/LLM service
- Refined recommendation algorithm leveraging concert data APIs as well as the new AI/LLM service.</t>
  </si>
  <si>
    <t>- It was challenging integrating HTTPS, since we had to add self-signed certificates for local development as well as trusted certificates for deployment. We had to change multiple classes in our code where communications with other services were started or received. The deployment workflows also had to change. Many moving parts. 
- Refining AI/LLM prompts also proved to be difficult, specially given that we had to try different models; not all prompts were as effective when we had to pivot AI models.</t>
  </si>
  <si>
    <t>- Continue refining recommendations algorithm
- Expand test coverage
- Further refine UI</t>
  </si>
  <si>
    <r>
      <rPr>
        <rFont val="Arial"/>
        <b/>
      </rPr>
      <t>Your Lead Roles</t>
    </r>
    <r>
      <rPr>
        <rFont val="Arial"/>
      </rPr>
      <t>: Design and Implementation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</si>
  <si>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</si>
  <si>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</si>
  <si>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</si>
  <si>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</si>
  <si>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</si>
  <si>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</si>
  <si>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</si>
  <si>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</si>
  <si>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</si>
  <si>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</si>
  <si>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</si>
  <si>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</si>
  <si>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0 - learned more about git, django, OAuth, FastAPI through online and AI research
2 - researched database solutions
5 - used Discord and Google Meet to communicate with the team and join meetings, drafted management plan timeilne
6 - cloned and set up Git to manage project repo, joined class organization and team on GitHub, created README file and committed to project repository
7 - prepared group presentation, created application logo</t>
  </si>
  <si>
    <t>- Used ChatGPT to format and organize risk management paragraph and design application logo. The output was helpful. I suggested some slight editing after the first formatting. Content of paragraph was original work so I just fine tuned the formatting to preserve more of the original details. Logo design was well made after first prompt</t>
  </si>
  <si>
    <t>- Wrote two sections of SPPP (Risk management and management plan timeline)
- Created Google Slides document for team presentation
- Created application logo
- Updated progress report
- Helped ensure correct github configuration
- Created and committed project README file</t>
  </si>
  <si>
    <t>- struggled to identify full set of deliverables and keep track of all documents to be submitted</t>
  </si>
  <si>
    <t>- communicate with instructor to find effective ways to track deliverables each week, asked for complete list of assignments on BlackBoard</t>
  </si>
  <si>
    <t xml:space="preserve">- continue to learn about selected tech stack
- continue researching free cloud based db solutions
- refine project architecture and plans for front end/back end split
- plan team meetings
- contribute to iteration 1 and team presentation
- update progress report
</t>
  </si>
  <si>
    <t>09/10-9/22</t>
  </si>
  <si>
    <t>0 - Learned more about API services used (ticketmaster and jambase), React and Vite, Docker and Fast API
2 - Worked on SDD document and diagrams
3 - Implemented frontend structure, components, pages and basic parameter handling to prepare for integration with backend
5 - Communicated with the team to share progress updates, opinions on submitted work, set and adjust goals, set meeting times and deadlines, assign and redistribute tasks; updated risk management sheet
6 - Installed and configured React/Vite for frontend
7 - Updated project logo, banners in different styles</t>
  </si>
  <si>
    <t>- Wrote introduction, software architecture, ui design, design patterns, and Rest API sections of Software Design Document (SDD)
- Configured structure for frontend using React and Vite
- Created modular components for UI
- Created search and results pages and routed them with React Router, incorporating search parameters into url
- Configured basic parameter handling
- Updated risk management document
- Took minutes and organized meeting summary</t>
  </si>
  <si>
    <t xml:space="preserve">- Connect frontend to backend
- Update sppp, sdd, progress and risk management sheets
- Research solutions and lay foundation for new features (recommendations, NL agentic search) </t>
  </si>
  <si>
    <t>9/22-9/29</t>
  </si>
  <si>
    <t>0 - Learned about Groq, prompting techniques, and AI integration options for handling user input and generating recommendations.
1 - Identified key components and workflow needed to implement AI-driven user input, search, and recommendation features.
2 - Outlined high-level design for integrating Groq with the backend and mapping user input flow through the Concert Service and APIs.
5 - Communicated with teammates over Discord and during meetings to plan iteration roadmap, assign tasks, and set deadlines; coordinated with team leader and other members to manage workload distribution based on teammate availability.</t>
  </si>
  <si>
    <t>Used ChatGPT to learn about new technologies used, resolve issues. Output was generally helpful. I always review and edit the AI output before implementing it into my own work. It is a useful starting point to edit and fine-tune before use.</t>
  </si>
  <si>
    <t>- Took minutes and organized meeting summary</t>
  </si>
  <si>
    <t>- Contribute to AI implementation
- Update documents
- Create presentation powerpoint and present</t>
  </si>
  <si>
    <t>9/29-10/06</t>
  </si>
  <si>
    <t>0 - Learned more about FastAPI, Docker, request routing, Git branching and conflict resolution, unittests, and linter tools.
2 - Updated the Software Design Document (SDD) to reflect architectural revisions and implementation changes from this iteration, updated SPPP and risk management sheet with Iteration 2 changes and updates
3 - Implemented get_recommendations function and Groq API recommendation endpoint; made structural and style changes to frontend.
4 - Wrote unittest using fake client for Groq API; applied linter to ensure consistent formatting and style compliance.
5 - Collaborated with teammates during integration and testing to ensure compatibility across features and finalize deliverables.
7 - Prepared half of the presentation powerpoint and recorded my section of the presentation</t>
  </si>
  <si>
    <t>- Rewrote introduction, software architecture, class diagrams sections and updated the Design Patterns, Rest APIs, business logic and key algorithm sections in SDD (Software Design Document)
- Updated SPPP Risk Management sheet and SPPP management plan + risk management sections
- Implemented create_recommendations function, /recommendations endpoint in groq_service and unittest in test_groq
- Edited UI structure and style
- Prepared half of presentation powerpoint and recorded my section of the presentation</t>
  </si>
  <si>
    <t>- Edit/refine UI
- Set additional goals for final iteration</t>
  </si>
  <si>
    <r>
      <rPr>
        <rFont val="Arial"/>
        <b/>
      </rPr>
      <t>Your Lead Roles</t>
    </r>
    <r>
      <rPr>
        <rFont val="Arial"/>
      </rPr>
      <t>: Security Leader</t>
    </r>
  </si>
  <si>
    <t>0 - Research python FastAPI
1 - Investigate Security Considerations for FastAPI
5 - Used the Discord and Google Meetings to meet the team as well as decide the project
6 - Setup SSH keys on my laptop so I can easily use Git with the team repo</t>
  </si>
  <si>
    <t>Used Chat-GPT to help me investigate non-functional requirements that a Security Leader should consider, especially as it pertains to FastAPI. This was useful because it help me get an idea of the aspects I should be monitoring and considering throughout the project to ensure the team is maintaining best security practices. I used the results to help shape the security requirements and some feature requirements of the project. Using Chat-GPT was useful here because it brought up ideas I had not considered that I then incorporated into our non-functional requirements to help the team develop a more secure application.</t>
  </si>
  <si>
    <t>1. Write Security Requirements section of SPPP and added some feature requirements as Security Leader
2. Set up git and committed initial team.md file
3. Participate in team kickoff meeting.               
4. Presented half of Iteration 0 presentation</t>
  </si>
  <si>
    <t>1. Not familiar with FastAPI
2. Project design not decided or discussed yet, hard to plan tasks</t>
  </si>
  <si>
    <t>1. Finish FastAPI starter project from documentation this weekend to get some exposure
2. Meet with team to discuss project design and align on task direction</t>
  </si>
  <si>
    <t>0 - Continue to learn FastAPI &amp; Python security best practices
1 - continue to define requirements
3 - Implement a basic FastAPI project to get myself acquainted with the framework             5 - Meet with team to discuss project in more depth and continue designing architecture</t>
  </si>
  <si>
    <t>09/10-09/17</t>
  </si>
  <si>
    <t xml:space="preserve">0 - Researched python FastAPI
0 - Created an example Docker Compose
project that uses React, FastAPI, and Docker
to get aquainted with the project tools
1 - Investigated FastAPI Security Considerations
2 - Added Security Design to the SDD
3 - Added a Security Check workflow using GitHub
actions to run static analysis and dependency checks 
on our Python source code
5 - Discussed with team in Discord and held Google Meet
meetings to sync
6 - Similar to my learning one above, used an example app
to get acquainted with the project stack
6 - Configured GitHub action to perform Python security 
checks
</t>
  </si>
  <si>
    <t>Used Chat-GPT to help me learn about
GitHub actions and workflows, allowing
me to create a security check workflow
that scans our Python code using static 
analysis and dependency scanning 
for known vulnerabilities. This was useful
for helping me get up to speed on how to
create a workflow so most of my time was
spent fine-tuning the workflow instead of
learning the syntax and structure of a 
workflow files.</t>
  </si>
  <si>
    <r>
      <rPr/>
      <t xml:space="preserve">1 - Created </t>
    </r>
    <r>
      <rPr>
        <color rgb="FF1155CC"/>
        <u/>
      </rPr>
      <t>SECURITY.md</t>
    </r>
    <r>
      <rPr/>
      <t xml:space="preserve"> file for our
project to outline security best practices
for the team/project
2 - Created the initial security check workflow
(that had failures)
3 - Participated in team meetings and was active
in the team Discord
4 - Worked to correct my permissions with the team
project, I realized I had not properly joined the team
the first time so I only had read access and I had
accidentally created a fork of the repo
5 - Joined the team Jira project
</t>
    </r>
  </si>
  <si>
    <t>1. I had joined the project
the wrong way initially 
which made contributing
to the repo a little more
difficult</t>
  </si>
  <si>
    <t>1. Fix the issues identified by the
security check workflow
2. Work on project documents for
Iteration 1</t>
  </si>
  <si>
    <t>0 - Learn how to address
bandit, pip-audit, and safety
warnings/errors
3 - Implement fixes so the
security workflow completes
without warnings/errors
4 - Verify that the security
workflow completes without
warnings/errors
5 - Meet with team to have
our "stand-up" to discuss
progress, blockers, and next
steps</t>
  </si>
  <si>
    <t>09/17-09/24</t>
  </si>
  <si>
    <r>
      <rPr/>
      <t xml:space="preserve">0 - Researched how to address bandit "assert used" errors in Python test files
0 - Researched how to freeze requirements in requirements.txt to address pip-audit
and safety dependency errors
2 - Worked on Security Design documentation in SDD document
3 - Updated security check workflow and source files to address errors
3 - Added a </t>
    </r>
    <r>
      <rPr>
        <color rgb="FF1155CC"/>
        <u/>
      </rPr>
      <t>SECURITY-CHANGELOG.md</t>
    </r>
    <r>
      <rPr/>
      <t xml:space="preserve"> to the root of the project to provide a place
for the team to log important security related decisions 
4 - Verify that the security check workflow finishes without errors
4 - Perform the two test cases I added to the STD document
5 - Discussed with team in Discord and help Google Meet meetings to sync</t>
    </r>
  </si>
  <si>
    <t>Used Claude to take a look at the
the project and help me draft the
Security Design section of the
SDD document. This was useful
for helping me concisley and clearly
summarize what security measures
we have implemented already and 
which ones we intend to have but 
have not implemented yet. I had to
clean up the Claude generated draft
a bit as our timeline for the project does
not allow for all of it's security suggestions</t>
  </si>
  <si>
    <r>
      <rPr/>
      <t xml:space="preserve">1 - Updated the </t>
    </r>
    <r>
      <rPr>
        <color rgb="FF1155CC"/>
        <u/>
      </rPr>
      <t>SECURITY-CHANGELOG.md</t>
    </r>
    <r>
      <rPr/>
      <t xml:space="preserve"> 
to reflect how I was able to address bandit errors
in the workflow
2 - Addressed the issues found by the security 
check workflow and got the check to pass
3 - Added the Security Design section of the SDD
document
4 - Worked on updating the routine iteration
documents to reflect work done for iteration 1
5 - Completed the initial revision of the STD
document</t>
    </r>
  </si>
  <si>
    <t xml:space="preserve">1. Investigate expanding the
security check workflow to
also check the React frontend
for issues to enhance security
2. Investigate expanding the 
security check workflow to 
also check the Docker image for 
vulernabilites
3. Sync with the team to determine
where else I can best help with the
codebase
</t>
  </si>
  <si>
    <t>09/24-10/01</t>
  </si>
  <si>
    <t>0 - Researched SSL and HTTPS
3 - Implemented SSL certificates and updated development, test, and production
environment to use SSL certificates 
4 - Verified development, test, and production environment generate and use SSL 
certificates properly
5 - Discussed with team in Discord and Google Meet meetings to sync
6 - Updated development, test, and production environment configurations</t>
  </si>
  <si>
    <t>Used Claude to help generate
a roadmap for implementing 
HTTPS and had Claude implement
each phase in the roadmap one at
a time so I could verify it's 
implementations at each stage. I had
to clean up Claude generated code
and redirect Claude at times when 
it started to get off- task.</t>
  </si>
  <si>
    <t>1 - Implemented SSL certificates
2 - Updated docker configurations
to support SSL certificate generation
and use
3 - Updated SDD and SPPP Security
related sections
4 - Worked on updating routine iteration
documents</t>
  </si>
  <si>
    <t>1. SSL certificates implemented 
2. NGINX configurations updated</t>
  </si>
  <si>
    <t>1 - Meet with team to discuss
Iteration 2 progress and align
Iteration 3 goals.
2 - Implement HTTPS</t>
  </si>
  <si>
    <t>10/01-10/08</t>
  </si>
  <si>
    <r>
      <rPr/>
      <t xml:space="preserve">0 - Researched buying a domain to use for our EC2 test server instance
2 - Worked on Security Design documentation in SDD document
3 - Implemented HTTPS for frontend and backend
4 - Verified development, test, and production environemnt configurations use HTTPS
as expected
5 - Discussed with team in Discord and Google Meet meetings to sync
6 - Bought </t>
    </r>
    <r>
      <rPr>
        <color rgb="FF1155CC"/>
        <u/>
      </rPr>
      <t>testbeatmap.com</t>
    </r>
    <r>
      <rPr/>
      <t xml:space="preserve"> domain and updated our EC2 test server instance to use
it</t>
    </r>
  </si>
  <si>
    <t xml:space="preserve">1 - Implemented HTTPS for the
frontend and backend
2- Worked on updating routine 
iteration documents
3 - Bought domain for our EC2 
test server instance and updated
test server to use it
</t>
  </si>
  <si>
    <t>All iteration 2 JIRA tasks/issues
complete.</t>
  </si>
  <si>
    <t>1 - Meet with team to discuss
exact changes we hope to make
for Iteration 3.
2 - Estimate that I will be helping
with code refactoring and clean up
3 - Estimate that I will be adding
a frontend security workflow job to
further harden security</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</si>
  <si>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</si>
  <si>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</si>
  <si>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0 - learned git and fastapi
1 - define high level requirements
2 - design
3 - implementation
4 - test
5 - keep touch with team members
6 - set up git and commit lab1
7 - unclassified</t>
  </si>
  <si>
    <t>1.Use ChatGPT to research the role of the Design and Implementation Leader.
2.Use ChatGPT to research possible tech stacks for our project, including options for the front-end, back-end, database, and cloud deployment.
3.Use DeepSeek to help me summarize the Objectives and Priorities section, and check for typos or errors in the summary.</t>
  </si>
  <si>
    <t>1. Write half sections of SPPP.
2. Set up git.
3.Research the tech stack of out project.</t>
  </si>
  <si>
    <t>1. not familiar with team members and missed first meeting.
2. have no experience in python web development.
3. not familiar with fastapi.</t>
  </si>
  <si>
    <t>1. Learning fastapi from tutorials and chatgpt. 
2. Try to make a demo using fastapi</t>
  </si>
  <si>
    <t>0 - continue to learn fastapi.
1 - make a demo using fastapi.
2 - implement a basic hello world on fastapi.</t>
  </si>
  <si>
    <t>09/10-09/22</t>
  </si>
  <si>
    <t>0 - Learned Fastapi, Ticketmaster api and python unit testing.
1 - Understood the backend and ticketmaster providers.
2 - Design backend and api architecture.
3 - Implemented and integrated the Ticketmaster API.
4 - Implemented unit tests for providers
5 - keep touch with teammates
6 - Set up Docker and the backend environment
7 - Presentation iteration 1</t>
  </si>
  <si>
    <t>1.Learn Python unit testing to verify functionality.
2.Study backend development and the Ticketmaster API.
3.Organize the structure of our presentation slides and refine the content.</t>
  </si>
  <si>
    <t>1. Intergreted backend and Ticketmaster api.
2. Finished slides and presentation for iteration 1.</t>
  </si>
  <si>
    <t xml:space="preserve">1. have no experience in python unit testing.
2. not familar with CI/CD pipeline.
</t>
  </si>
  <si>
    <t xml:space="preserve">1. Have finished the unit testing.
2. Have gained a better understanding of backend development,the Ticketmaster API and CI/CD Pipeline.
</t>
  </si>
  <si>
    <t>0 - Connect the frontend and backend.
1 - Learn about AI agents and Groq.
2 - Collaborate with teammates to design the database.
3 - Continue updating SPPP, SDD, and STD documents.</t>
  </si>
  <si>
    <t>9/22-10/6</t>
  </si>
  <si>
    <t>0 - Learned how the frontend communicates with the backend through API routes and Docker containers.
1 - Identified the need to connect the natural language input with real recommendation data.
2 - Outlined the data flow between frontend, backend, and the Groq recommendation service.
3 - Implemented the working connection between frontend and backend, and restored the search page interface.
4 - Tested the system end-to-end to confirm successful data retrieval and display.
5 - Discussed and coordinated debugging steps within the team.
6 - Adjusted Docker and Nginx configurations to ensure correct API routing.
7 - Cleaned up code and improved console logging for easier debugging.</t>
  </si>
  <si>
    <t>I used GPT to study the logic and interaction between the frontend and backend systems. With the help of ChatGPT, I completed part of the frontend code and learned how routing works in a React-based application. Through this process, I gained a better understanding of how user input flows through the interface to the backend API and returns data for display.</t>
  </si>
  <si>
    <t>1. Intergreted backend and frontend.</t>
  </si>
  <si>
    <t>1. I have no experience in integrating the frontend and backend.</t>
  </si>
  <si>
    <t>Have finished the intergrating the frontend and backend</t>
  </si>
  <si>
    <t>0. Praperation for presentation 3.
1. Add more unit tests and finish intergret testing.
2. Keep polish the UI.</t>
  </si>
  <si>
    <r>
      <rPr>
        <rFont val="Arial"/>
        <b/>
      </rPr>
      <t>Your Lead Roles</t>
    </r>
    <r>
      <rPr>
        <rFont val="Arial"/>
      </rPr>
      <t>: Requirement Leader</t>
    </r>
  </si>
  <si>
    <t>0 - explored requirement practices for similar products
1 - defined core functional needs of our products
2 - gave ideas for usage and product design
3 - implementation
4 - test
5 - communicated with teammates about requirements
6 - set up git
7 - organized documentations</t>
  </si>
  <si>
    <t>Used ChatGPT to help brainstorm more possible requirements and filter unrealistic ones.</t>
  </si>
  <si>
    <t xml:space="preserve">1. Wrote functional requirement sections of SPPP 
2. Set up git, renewed and committed files on git
3. Updated the progress report
</t>
  </si>
  <si>
    <t>The current requirements are still high-level and not detailed enough, making it difficult to start design discussions.</t>
  </si>
  <si>
    <t>I will work on breaking down the requirements into smaller user stories and organize them by priority, so the design team can start with clear guidance.</t>
  </si>
  <si>
    <t>0 - study techniques for creating requirement traceability matrices to connect requirements with later design and testing.
1 - transform high-level requirements of Concert Finder into detailed use cases and acceptance criteria.
5 - discuss with teammates to confirm feature priorities and requirements with the upcoming design tasks.</t>
  </si>
  <si>
    <t>0 - learned from other similar products, especially requirements part
1 - created tickets on Jira and adjust the requirements according to project progress
2 - design
3 - implementation
4 - test
5 - communicated with teammates about requirements, assigned works to them and asked about task progress
6 - configuration/environment
7 - prepared presentation and organized documentations</t>
  </si>
  <si>
    <t>Used ChatGPT to help me create a clear Jira hierarchy and assign tasks</t>
  </si>
  <si>
    <t>1. Modified functional requirement sections of SPPP
2. Wrote Class Added Class Diagram and Business Logic and/or Key Algorithms sections of SDD
3. Updated the progress report
4. Worked on Iteration 1 Presentation and its slides
5. Created Jira tickets and assign tasks to each member</t>
  </si>
  <si>
    <t>The SPPP specifies Concert Search and API Integration, but it does not state what the system should do under some abnormal situations like empty result or timeout from APIs .</t>
  </si>
  <si>
    <t>I will update requirements that, document expected frontend behavior: ResultsPage should show a clear “No results found” message, not a blank screen or raw error.</t>
  </si>
  <si>
    <t>0 - review FastAPI and API contract design practices to better adjust requirements
1 - refine acceptance criteria for search and marginal scenarios
5 - align team members on updated requirements in Jira and ensure scope matches Iteration 1 objectives.</t>
  </si>
  <si>
    <t>09/22-09/27</t>
  </si>
  <si>
    <t>0 - learned how to use Groq API and combine the backend and frontend services
1 - created tickets on Jira and adjust the requirements according to project progress
2 - design
3 - integrated AI results into UI
4 - test
5 - communicated with teammates about requirements, assigned works to them and asked about task progress
6 - configuration/environment
7 - organized documentations</t>
  </si>
  <si>
    <t>Used ChatGPT to learn more about how to fetch the backend results to frontend UI</t>
  </si>
  <si>
    <t>1. Created Jira tickets and assign tasks to each member
2. Worked on Groq API and integrated AI results into UI
3. Updated the progress report</t>
  </si>
  <si>
    <t>The websites will not return the results from backend and always say "No results".</t>
  </si>
  <si>
    <t>I will first try to give a mock data to make it show something instead of "No results", and after the merge of backend and frontend, it will show the real recommendations.</t>
  </si>
  <si>
    <t>0 - learn about how to merge backend and frontend
1 - remove some impractical features according to our progress
5 - communicated with team members on updated requirements in Jira to ensure our pivoting towards AI API</t>
  </si>
  <si>
    <t>09/28-10/06</t>
  </si>
  <si>
    <t>0 - learned how to connect the frontend and backend with Dockerized services and make the AI agent work end-to-end.
1 - created tickets on Jira and adjust the requirements according to project progress
2 - design
3 - implementated AI services and backend-frontend merge
4 - test AI API for backend and frontend merge
5 - communicated with teammates about requirements, assigned works to them and asked about task progress
6 - configuration/environment
7 - organized documentations</t>
  </si>
  <si>
    <t>Used ChatGPT to learn about how to merge frontend and backend and adjust the UI</t>
  </si>
  <si>
    <t xml:space="preserve">1. Modified functional requirement sections of SPPP
2. Summarized the meeting minutes
3. Updated the progress report
4. Adjusted Jira tickets according to our progress
5. Helped merge backend and frontend
</t>
  </si>
  <si>
    <t>During integration, the UI doesn't seem clear and user-friendly. Some UI components also failed to handle API delays gracefully.</t>
  </si>
  <si>
    <t>I will work with teamates about UI refinements to make it much clearer and easier to use, instead of a primitive layover, and also able to handle the errors.</t>
  </si>
  <si>
    <t>0 - find the small features we can add on our project from other similar ones
1 -  refine the final acceptance criteria for the whole project
5 - communicate with team members to ensure the final acceptance criteria</t>
  </si>
  <si>
    <r>
      <rPr>
        <rFont val="Arial"/>
        <b/>
      </rPr>
      <t>Your Lead Roles</t>
    </r>
    <r>
      <rPr>
        <rFont val="Arial"/>
      </rPr>
      <t>: Team Leader, Configuration Leader</t>
    </r>
  </si>
  <si>
    <t>0 - investigated different python libraries we can leverage.
1 - define high level requirements, 
2 - Design 
3 - Implementation 
4 - Test 
5 - make project plan, send reminders to team members
6 - set up git
7 - research similar products, prepare presentation</t>
  </si>
  <si>
    <t>Used ChatGPT to branstorm possible project ideas, given my interests. Also used it to come of with potential nice names for our project.</t>
  </si>
  <si>
    <t xml:space="preserve">1. Wrote 3 sections of SPPP  
2. Wrote meeting 1 minute. 
3. Wrote risks spreadsheet. 
4. Updated progress report.
6. Worked on iteration 0 presentation
5. Set up git, created lab1 branch. </t>
  </si>
  <si>
    <t>1. Found challenging to understand exactly what all the deliverables were.
2. Ensure all members of the team know what they should be working on.</t>
  </si>
  <si>
    <t>1. Ask questions. Make sure to read chat as others have had similar questions.
2. Inventory pending tasks and communicate. Will start using Jira.</t>
  </si>
  <si>
    <t>0 - Setup CICD pipeline
1 - Setup Docker
3 - Start experimenting with APIs to find and process concert data</t>
  </si>
  <si>
    <t>0 - Learning about Google Cloud Run and AWS.
2 - Understanding what what the CICD pipeline requirements were .
3 - Implementing CICD.
4- Testing CICD.
5 - Coordinating activities, following up on items.
6- Fine tunning CICD configuration</t>
  </si>
  <si>
    <t>Used ChatGPT to learn how to use github actions, specially focusing on linter, unit test and format checks (https://chatgpt.com/share/68c9eeef-0178-8013-a6ea-ddacd31bb844). Use ChatGPT to understand differences between using Google Cloud Run (one service per docker container) vs using a single VM for the enntire application (https://chatgpt.com/share/68cddec3-0918-8013-9c7f-e604b3179328). Both chats were useful and helped with both implementation and decision making. We had originally inteded to use Google Cloud Run, but for a small project with time constraints such as ours, it doesn't make sense.</t>
  </si>
  <si>
    <t xml:space="preserve">1. Implemented CI/CD pipeline, adding a prod and test environments
2. Coordinated meetings and activities
3. Updated progress report.
</t>
  </si>
  <si>
    <t>1. We originally decided to use Google Cloud Run. It became apparent that it was not a feasable option, given that it required one service per docker container, making it hard to manage. Plus intra container communication was not straightforward. Had to pivot to an EC2 instance with AWS
2. Mastering Github Actions. I found it challenging configuring how/when workflows should run.</t>
  </si>
  <si>
    <t>1. Successfuly pivoted to AWS
2. Through testing I was able to make it behave in the desired way.</t>
  </si>
  <si>
    <t>0 -HTTPS integration
1 - Backend and frontend integration
3 - AI integration</t>
  </si>
  <si>
    <t>0 - Learning about AI vendors, APIs.
2 - Create interface for music vendor API service wrappers. Design for integrating AI service.
3 - Implemented AI service. Updated recommendations algorithm.
4- Tested with every step described in 3.
5 - Coordinating activities, following up on items.
6- Fine tunning CICD configuration</t>
  </si>
  <si>
    <t xml:space="preserve">I had to iterate several times to find a prompt that worked as I expected. Figured that an AI/LLM would be ideal to generate the prompt I needed. https://chatgpt.com/share/68e3efdc-bb3c-8013-ab64-2675737e7985 </t>
  </si>
  <si>
    <t xml:space="preserve">1. Designed and Implemented AI service.
2. Merged into main all feature branches, solving conflicts.
3. Coordinated meetings and activities
</t>
  </si>
  <si>
    <t>- Refining AI/LLM prompts also proved to be difficult, specially given that we had to try different models; not all prompts were as effective when we had to pivot AI models.</t>
  </si>
  <si>
    <t>Issues were successfuly solved.</t>
  </si>
  <si>
    <t>0 - Merge feature branches.
1 - Work on docs.</t>
  </si>
  <si>
    <t>0 - Learning about HTTPS/SSL certificates
3 - Merged all branches into main, solving conflicts.
4- Tested with every step described in 3.
5 - Coordinating activities, following up on items.
6- Fine tunning CICD configuration
7- Worked on PPT</t>
  </si>
  <si>
    <t>I used ChatGPT to fix issues with Docker compose, NGINX configuration and route handling that arose due to enabling of HTTPS. https://chatgpt.com/share/68e3f0bb-0408-8013-8e41-6efd3c5e3313</t>
  </si>
  <si>
    <t xml:space="preserve">1. Merged into main all feature branches, solving conflicts.
2. Coordinated meetings and activities
3. Updated progress report, SDD, SPPP.
</t>
  </si>
  <si>
    <t xml:space="preserve">- It was challenging integrating HTTPS, since we had to add self-signed certificates for local development as well as trusted certificates for deployment. We had to change multiple classes in our code where communications with other services were started or received. The deployment workflows also had to change. Many moving parts. </t>
  </si>
  <si>
    <t>0 - Refine recommendations algorithm
1 - Expand test coverage.
3 - Refine UI</t>
  </si>
  <si>
    <r>
      <rPr>
        <rFont val="Arial"/>
        <b/>
      </rPr>
      <t>Your Lead Roles</t>
    </r>
    <r>
      <rPr>
        <rFont val="Arial"/>
      </rPr>
      <t>: QA Leader</t>
    </r>
  </si>
  <si>
    <t>0 - researched Python libraries/frameworks we can use to test our code like FastAPI, metrics we can use to measure our product effectively
5 - made project QA plan
6 - set up git, github, vscode
7 - research similar feature in Spotify, prepare presentation</t>
  </si>
  <si>
    <t>Use chatgpt to research QA testing plan for our product. It was helpful in suggesting metrics we could use to measure the quality of our software, and frameworks/tools we could use to test our code. I filtered the results based on how useful I thought they would be to our product and also by how feasible it was to use the suggestion provided by chatgpt</t>
  </si>
  <si>
    <t>1. Write QA plan section of SPPP
2. Set up git, commit a test message on git
3. Contribute to Iteration 0 presentation
4. Contributed to Risk Management document</t>
  </si>
  <si>
    <t>1. not familar with using Docker or containerization in general
2. have not worked with Python in a while, need a refresher.</t>
  </si>
  <si>
    <t>1. learn about containerization and work on Lab 2 which deals with Docker
2. refresh memory on Python</t>
  </si>
  <si>
    <t>0 - learn Docker, practice with Python
4 - continue to define QA plan
5 - meet with team to work on Iteration 1</t>
  </si>
  <si>
    <t xml:space="preserve">0 - researched pytest, FastAPI, JamBase API
2 - brainstormed standardizing Events object
 from API results
3 - Implemented integrating JamBase API
4 - added tests for JamBase API + 
our app's endpoints
5 - met with the team to go over my progress, 
recorded meeting minutes
6 - obtained JamBase API key and added 
to a .env file </t>
  </si>
  <si>
    <t>Used ChatGPT to give suggestions on
how to split the implementation of an
API service into different Python files,
as well as how to use FastAPI for different
endpoints.
Researched how to use pytest and mock data
to test the result of API service without
explicitly calling the API.
The ChatGPT results helped me understand
how to split the implementation of JamBase
API up and how to general architecture of
our backend should look like/gave me
suggestions. I analyzed the results based on
feasability for Iteration1.</t>
  </si>
  <si>
    <t xml:space="preserve">1. Added implementation for JamBase
API service for the backend as well
as unit tests.
2. Updated ReadMe.md with information
we learned this iteration
3. Updated SPPP to reflect this iteration
4. Updated STD testing document as the 
QA Leader
5. Updated Progress Report
</t>
  </si>
  <si>
    <t>1. was not familiar with using pytest or FastAPI, but found them pretty straightforward.
2. had concerns about standardizing our output back to the frontend across all API services, will iron this out in the next iteration</t>
  </si>
  <si>
    <t>1. learned about pytest and FastAPI
2. Talked with Sam and Zixuan to
understand how our output should
look like, will work on this more in
the next iteration</t>
  </si>
  <si>
    <t>0 - learn more about FastAPI,
pytest, and mock tests
2 - work on design of standardized
API output, hooking up frontend to
backend
3 - standardize API output, send data
to frontend
4 - verify data gets sent from backend
to frontend, proper format
5 - meet with team to discuss iteration1
plan and tasks</t>
  </si>
  <si>
    <t>2 - brainstormed how to connect backend + frontend,
standardize backend microservices to return
same format. researched AI due to req pivot
3 - implemented backend standardization for
JamBase &amp; Ticketmaster
4 - added further tests for JamBase API, endpoints
5 - met with team to assess progress &amp; next steps
7 - filled out progress report</t>
  </si>
  <si>
    <t>Used ChatGPT for suggestions on
how to unify our microservices to 
return similar outputs as well as
how to work with both the microservices
in a similar fashion. Researched how
to work w/ Groq and what it can allow
us to do. ChatGPT helped me understand
the architecture of our codebase and how
to unify the external APIs to act similarly.
It also helped me understand how we can
incorporate Groq into our application.
I anaylzed the results based on accuracy
&amp; feasability.</t>
  </si>
  <si>
    <t>1. Added tests for JamBase, common Events object
2. Updated testing doc w/ automated test cases
3. Updated Progress Report
4. Standardized code for TicketMaster API</t>
  </si>
  <si>
    <t>Was not familar w/ Groq, 
did not have a clear idea of
how we could leverage it
in our application.</t>
  </si>
  <si>
    <t>Research further into Groq, look
at the documentation</t>
  </si>
  <si>
    <t>0 - learn more about Groq,
HTTPS
2 - add functions for Groq
to take user input and parse
into a common object
3 - implement Groq functions,
parse user input
4 - add unit tests for working w/ Groq
5 - meet with team to go over next steps</t>
  </si>
  <si>
    <t xml:space="preserve">0 - researched SSL, Groq
2 - brainstormed JSON schema for Groq
3 - wrote function to parse tokens about concert 
using Groq from user input
4 - wrote unit test for tokens function
5 - communicated with team to work on presentation 
&amp; communicated limited availability
7 - worked on ppt &amp; recorded demo
</t>
  </si>
  <si>
    <t>Used ChatGPT to recommend JSON
schema format for interacting w/ Groq
&amp; how to query the AI in general. 
Also used for suggestions in ppt
bullet points &amp; specific topics to cover.
The results helped me understand how
to query Groq + interact w/ the results,
and how we can standardize the object
it returns. I analyzed the results based on
accuracy on how it can be applied to our codebase.</t>
  </si>
  <si>
    <t>1. Added JSON schema and tokens endpoint for Groq.
2. Worked on ppt &amp; 2 demos for
presentation.
3. Updated Progress Report</t>
  </si>
  <si>
    <t>Limited time to work on project 
this week due to moving out 
&amp; into a new
apartment.</t>
  </si>
  <si>
    <t>Will have more time next week to
work on the project as move in
is complete.</t>
  </si>
  <si>
    <t>0 - research testing HTTPS
4 - add unit tests &amp; integration
tests across the project
5 - meet with the team
7 - work on documentation</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</si>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</sst>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font>
    <font>
      <b/>
      <color rgb="FFFF0000"/>
      <name val="Arial"/>
    </font>
    <font>
      <b/>
      <name val="Arial"/>
    </font>
    <font>
      <b/>
    </font>
    <font>
      <b/>
      <color rgb="FFFF0000"/>
    </font>
    <font/>
    <font>
      <name val="Arial"/>
    </font>
    <font>
      <u/>
      <color rgb="FF0000FF"/>
    </font>
    <font>
      <u/>
      <color rgb="FF0000FF"/>
    </font>
    <font>
      <color rgb="FFFF0000"/>
      <name val="Arial"/>
    </font>
    <font>
      <b/>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horizontal="center" readingOrder="0" shrinkToFit="0" wrapText="1"/>
    </xf>
    <xf borderId="0" fillId="0" fontId="5" numFmtId="0" xfId="0" applyAlignment="1" applyFont="1">
      <alignment horizontal="center" readingOrder="0"/>
    </xf>
    <xf borderId="0" fillId="0" fontId="5" numFmtId="0" xfId="0" applyAlignment="1" applyFont="1">
      <alignment readingOrder="0"/>
    </xf>
    <xf borderId="0" fillId="2" fontId="5" numFmtId="0" xfId="0" applyAlignment="1" applyFill="1" applyFont="1">
      <alignment readingOrder="0" shrinkToFit="0" wrapText="1"/>
    </xf>
    <xf borderId="0" fillId="0" fontId="5" numFmtId="0" xfId="0" applyAlignment="1" applyFont="1">
      <alignment shrinkToFit="0" wrapText="1"/>
    </xf>
    <xf borderId="0" fillId="3" fontId="6" numFmtId="0" xfId="0" applyAlignment="1" applyFill="1" applyFont="1">
      <alignment readingOrder="0" shrinkToFit="0" vertical="bottom" wrapText="1"/>
    </xf>
    <xf borderId="0" fillId="0" fontId="5" numFmtId="0" xfId="0" applyAlignment="1" applyFont="1">
      <alignment shrinkToFit="0" wrapText="1"/>
    </xf>
    <xf borderId="1" fillId="0" fontId="2" numFmtId="0" xfId="0" applyAlignment="1" applyBorder="1" applyFont="1">
      <alignment readingOrder="0" shrinkToFit="0" vertical="bottom" wrapText="1"/>
    </xf>
    <xf borderId="0" fillId="0" fontId="3" numFmtId="0" xfId="0" applyAlignment="1" applyFont="1">
      <alignment shrinkToFit="0" wrapText="1"/>
    </xf>
    <xf borderId="0" fillId="0" fontId="5" numFmtId="0" xfId="0" applyAlignment="1" applyFont="1">
      <alignment readingOrder="0" shrinkToFit="0" wrapText="1"/>
    </xf>
    <xf borderId="0" fillId="0" fontId="5" numFmtId="164" xfId="0" applyAlignment="1" applyFont="1" applyNumberFormat="1">
      <alignment readingOrder="0" shrinkToFit="0"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0" fontId="7" numFmtId="0" xfId="0" applyAlignment="1" applyFont="1">
      <alignment readingOrder="0" shrinkToFit="0" wrapText="1"/>
    </xf>
    <xf borderId="0" fillId="0" fontId="8" numFmtId="0" xfId="0" applyAlignment="1" applyFont="1">
      <alignment readingOrder="0"/>
    </xf>
    <xf borderId="0" fillId="3" fontId="1" numFmtId="0" xfId="0" applyAlignment="1" applyFont="1">
      <alignment readingOrder="0" shrinkToFit="0" vertical="bottom" wrapText="0"/>
    </xf>
    <xf borderId="0" fillId="0" fontId="5" numFmtId="0" xfId="0" applyAlignment="1" applyFont="1">
      <alignment horizontal="left" readingOrder="0" shrinkToFit="0" wrapText="1"/>
    </xf>
    <xf borderId="0" fillId="2" fontId="6" numFmtId="0" xfId="0" applyAlignment="1" applyFont="1">
      <alignment readingOrder="0" shrinkToFit="0" vertical="bottom" wrapText="1"/>
    </xf>
    <xf borderId="0" fillId="0" fontId="5" numFmtId="164" xfId="0" applyAlignment="1" applyFont="1" applyNumberFormat="1">
      <alignment readingOrder="0"/>
    </xf>
    <xf borderId="0" fillId="2" fontId="5" numFmtId="0" xfId="0" applyAlignment="1" applyFont="1">
      <alignment shrinkToFit="0" wrapText="1"/>
    </xf>
    <xf borderId="0" fillId="2" fontId="5" numFmtId="0" xfId="0" applyFont="1"/>
    <xf borderId="2" fillId="0" fontId="1" numFmtId="0" xfId="0" applyAlignment="1" applyBorder="1" applyFont="1">
      <alignment readingOrder="0" shrinkToFit="0" vertical="top" wrapText="0"/>
    </xf>
    <xf borderId="2" fillId="0" fontId="9" numFmtId="0" xfId="0" applyAlignment="1" applyBorder="1" applyFont="1">
      <alignment vertical="top"/>
    </xf>
    <xf borderId="0" fillId="0" fontId="9" numFmtId="0" xfId="0" applyAlignment="1" applyFont="1">
      <alignment vertical="bottom"/>
    </xf>
    <xf borderId="0" fillId="0" fontId="2" numFmtId="0" xfId="0" applyAlignment="1" applyFont="1">
      <alignment shrinkToFit="0" vertical="top" wrapText="1"/>
    </xf>
    <xf borderId="0" fillId="0" fontId="10" numFmtId="0" xfId="0" applyAlignment="1" applyFont="1">
      <alignment vertical="top"/>
    </xf>
    <xf borderId="2" fillId="0" fontId="10"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curity.md/" TargetMode="External"/><Relationship Id="rId2" Type="http://schemas.openxmlformats.org/officeDocument/2006/relationships/hyperlink" Target="http://security-changelog.md/" TargetMode="External"/><Relationship Id="rId3" Type="http://schemas.openxmlformats.org/officeDocument/2006/relationships/hyperlink" Target="http://security-changelog.md/" TargetMode="External"/><Relationship Id="rId4" Type="http://schemas.openxmlformats.org/officeDocument/2006/relationships/hyperlink" Target="http://testbeatmap.com/"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9.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c r="A1" s="1" t="s">
        <v>0</v>
      </c>
      <c r="B1" s="2"/>
      <c r="C1" s="3"/>
      <c r="D1" s="4"/>
      <c r="E1" s="4"/>
      <c r="F1" s="4"/>
      <c r="G1" s="3"/>
      <c r="H1" s="3"/>
      <c r="I1" s="3"/>
      <c r="J1" s="3"/>
      <c r="K1" s="3"/>
      <c r="L1" s="2"/>
      <c r="M1" s="2"/>
      <c r="N1" s="2"/>
      <c r="O1" s="5"/>
      <c r="P1" s="5"/>
      <c r="Q1" s="5"/>
      <c r="R1" s="5"/>
      <c r="S1" s="5"/>
      <c r="T1" s="5"/>
      <c r="U1" s="5"/>
      <c r="V1" s="6"/>
      <c r="W1" s="6"/>
      <c r="X1" s="6"/>
      <c r="Y1" s="6"/>
    </row>
    <row r="2" ht="30.0" customHeight="1">
      <c r="A2" s="1" t="s">
        <v>1</v>
      </c>
      <c r="B2" s="2"/>
      <c r="C2" s="3"/>
      <c r="D2" s="4"/>
      <c r="E2" s="4"/>
      <c r="F2" s="4"/>
      <c r="G2" s="3"/>
      <c r="H2" s="3"/>
      <c r="I2" s="3"/>
      <c r="J2" s="3"/>
      <c r="K2" s="3"/>
      <c r="L2" s="2"/>
      <c r="M2" s="2"/>
      <c r="N2" s="2"/>
      <c r="O2" s="5"/>
      <c r="P2" s="5"/>
      <c r="Q2" s="5"/>
      <c r="R2" s="5"/>
      <c r="S2" s="5"/>
      <c r="T2" s="5"/>
      <c r="U2" s="5"/>
      <c r="V2" s="6"/>
      <c r="W2" s="6"/>
      <c r="X2" s="6"/>
      <c r="Y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7" t="s">
        <v>23</v>
      </c>
      <c r="W3" s="6"/>
      <c r="X3" s="6"/>
      <c r="Y3" s="6"/>
    </row>
    <row r="4">
      <c r="A4" s="8">
        <v>0.0</v>
      </c>
      <c r="B4" s="8" t="s">
        <v>24</v>
      </c>
      <c r="C4" s="9" t="s">
        <v>25</v>
      </c>
      <c r="D4" s="9" t="s">
        <v>26</v>
      </c>
      <c r="E4" s="10" t="s">
        <v>27</v>
      </c>
      <c r="F4" s="8" t="s">
        <v>28</v>
      </c>
      <c r="L4">
        <f>sum(O4:U4)</f>
        <v>47</v>
      </c>
      <c r="M4">
        <f t="shared" ref="M4:M6" si="1">sum(N4:U4)</f>
        <v>49</v>
      </c>
      <c r="N4" s="11">
        <v>2.0</v>
      </c>
      <c r="O4">
        <f>'Edoardo Cavallero'!G3+'Michael Laszlo'!G3+'Zixuan Cheng'!G4+'Zhehao Liao'!G3+'Samuel Akerman'!G4+'Greg Grimaylo'!G4</f>
        <v>16</v>
      </c>
      <c r="P4">
        <f>'Edoardo Cavallero'!H3+'Michael Laszlo'!H3+'Zixuan Cheng'!H4+'Zhehao Liao'!H3+'Samuel Akerman'!H4+'Greg Grimaylo'!H4</f>
        <v>7</v>
      </c>
      <c r="Q4">
        <f>'Edoardo Cavallero'!I3+'Michael Laszlo'!I3+'Zixuan Cheng'!I4+'Zhehao Liao'!I3+'Samuel Akerman'!I4+'Greg Grimaylo'!I4</f>
        <v>4</v>
      </c>
      <c r="R4">
        <f>'Edoardo Cavallero'!J3+'Michael Laszlo'!J3+'Zixuan Cheng'!J4+'Zhehao Liao'!J3+'Samuel Akerman'!J4+'Greg Grimaylo'!J4</f>
        <v>0</v>
      </c>
      <c r="S4">
        <f>'Edoardo Cavallero'!K3+'Michael Laszlo'!K3+'Zixuan Cheng'!K4+'Zhehao Liao'!K3+'Samuel Akerman'!K4+'Greg Grimaylo'!K4</f>
        <v>0</v>
      </c>
      <c r="T4">
        <f>'Edoardo Cavallero'!L3+'Michael Laszlo'!L3+'Zixuan Cheng'!L4+'Zhehao Liao'!L3+'Samuel Akerman'!L4+'Greg Grimaylo'!L4</f>
        <v>14.5</v>
      </c>
      <c r="U4">
        <f>'Edoardo Cavallero'!M3+'Michael Laszlo'!M3+'Zixuan Cheng'!M4+'Zhehao Liao'!M3+'Samuel Akerman'!M4+'Greg Grimaylo'!M4</f>
        <v>5.5</v>
      </c>
    </row>
    <row r="5">
      <c r="A5" s="8">
        <v>1.0</v>
      </c>
      <c r="B5" s="12" t="s">
        <v>29</v>
      </c>
      <c r="C5" s="9" t="s">
        <v>30</v>
      </c>
      <c r="D5" s="9" t="s">
        <v>31</v>
      </c>
      <c r="E5" s="10" t="s">
        <v>27</v>
      </c>
      <c r="F5" s="8" t="s">
        <v>32</v>
      </c>
      <c r="G5" s="11">
        <v>50.0</v>
      </c>
      <c r="H5" s="11">
        <v>50.0</v>
      </c>
      <c r="I5" s="11">
        <v>6.0</v>
      </c>
      <c r="J5" s="11">
        <v>5.0</v>
      </c>
      <c r="K5" s="11">
        <v>1.0</v>
      </c>
      <c r="M5">
        <f t="shared" si="1"/>
        <v>100</v>
      </c>
      <c r="N5" s="11">
        <v>2.0</v>
      </c>
      <c r="O5">
        <f>'Edoardo Cavallero'!G4+'Michael Laszlo'!G4+'Zixuan Cheng'!G5+'Zhehao Liao'!G4+'Samuel Akerman'!G5+'Greg Grimaylo'!G5</f>
        <v>21</v>
      </c>
      <c r="P5">
        <f>'Edoardo Cavallero'!H4+'Michael Laszlo'!H4+'Zixuan Cheng'!H5+'Zhehao Liao'!H4+'Samuel Akerman'!H5+'Greg Grimaylo'!H5</f>
        <v>10</v>
      </c>
      <c r="Q5">
        <f>'Edoardo Cavallero'!I4+'Michael Laszlo'!I4+'Zixuan Cheng'!I5+'Zhehao Liao'!I4+'Samuel Akerman'!I5+'Greg Grimaylo'!I5</f>
        <v>8</v>
      </c>
      <c r="R5">
        <f>'Edoardo Cavallero'!J4+'Michael Laszlo'!J4+'Zixuan Cheng'!J5+'Zhehao Liao'!J4+'Samuel Akerman'!J5+'Greg Grimaylo'!J5</f>
        <v>27.5</v>
      </c>
      <c r="S5">
        <f>'Edoardo Cavallero'!K4+'Michael Laszlo'!K4+'Zixuan Cheng'!K5+'Zhehao Liao'!K4+'Samuel Akerman'!K5+'Greg Grimaylo'!K5</f>
        <v>9</v>
      </c>
      <c r="T5">
        <f>'Edoardo Cavallero'!L4+'Michael Laszlo'!L4+'Zixuan Cheng'!L5+'Zhehao Liao'!L4+'Samuel Akerman'!L5+'Greg Grimaylo'!L5</f>
        <v>14</v>
      </c>
      <c r="U5">
        <f>'Edoardo Cavallero'!M4+'Michael Laszlo'!M4+'Zixuan Cheng'!M5+'Zhehao Liao'!M4+'Samuel Akerman'!M5+'Greg Grimaylo'!M5</f>
        <v>8.5</v>
      </c>
    </row>
    <row r="6">
      <c r="A6" s="8">
        <v>2.0</v>
      </c>
      <c r="B6" s="12" t="s">
        <v>33</v>
      </c>
      <c r="C6" s="8" t="s">
        <v>34</v>
      </c>
      <c r="D6" s="8" t="s">
        <v>35</v>
      </c>
      <c r="E6" s="11" t="s">
        <v>27</v>
      </c>
      <c r="F6" s="8" t="s">
        <v>36</v>
      </c>
      <c r="G6" s="11">
        <v>75.0</v>
      </c>
      <c r="H6" s="11">
        <v>75.0</v>
      </c>
      <c r="I6" s="11">
        <v>4.0</v>
      </c>
      <c r="J6" s="11">
        <v>4.0</v>
      </c>
      <c r="K6" s="11">
        <v>0.0</v>
      </c>
      <c r="M6">
        <f t="shared" si="1"/>
        <v>125</v>
      </c>
      <c r="N6" s="11">
        <v>2.0</v>
      </c>
      <c r="O6">
        <f>'Edoardo Cavallero'!G5+'Edoardo Cavallero'!G6+'Michael Laszlo'!G6+'Michael Laszlo'!G7+'Zixuan Cheng'!G5+'Zhehao Liao'!G5+'Zhehao Liao'!G6+'Samuel Akerman'!G6+'Samuel Akerman'!G7</f>
        <v>18</v>
      </c>
      <c r="P6">
        <f>'Edoardo Cavallero'!H5+'Edoardo Cavallero'!H6+'Michael Laszlo'!H6+'Michael Laszlo'!H7+'Zixuan Cheng'!H5+'Zhehao Liao'!H5+'Zhehao Liao'!H6+'Samuel Akerman'!H6+'Samuel Akerman'!H7</f>
        <v>11</v>
      </c>
      <c r="Q6">
        <f>'Edoardo Cavallero'!I5+'Edoardo Cavallero'!I6+'Michael Laszlo'!I6+'Michael Laszlo'!I7+'Zixuan Cheng'!I5+'Zhehao Liao'!I5+'Zhehao Liao'!I6+'Samuel Akerman'!I6+'Samuel Akerman'!I7</f>
        <v>21</v>
      </c>
      <c r="R6">
        <f>'Edoardo Cavallero'!J5+'Edoardo Cavallero'!J6+'Michael Laszlo'!J6+'Michael Laszlo'!J7+'Zixuan Cheng'!J5+'Zhehao Liao'!J5+'Zhehao Liao'!J6+'Samuel Akerman'!J6+'Samuel Akerman'!J7</f>
        <v>37</v>
      </c>
      <c r="S6">
        <f>'Edoardo Cavallero'!K5+'Edoardo Cavallero'!K6+'Michael Laszlo'!K6+'Michael Laszlo'!K7+'Zixuan Cheng'!K5+'Zhehao Liao'!K5+'Zhehao Liao'!K6+'Samuel Akerman'!K6+'Samuel Akerman'!K7</f>
        <v>15</v>
      </c>
      <c r="T6">
        <f>'Edoardo Cavallero'!L5+'Edoardo Cavallero'!L6+'Michael Laszlo'!L6+'Michael Laszlo'!L7+'Zixuan Cheng'!L5+'Zhehao Liao'!L5+'Zhehao Liao'!L6+'Samuel Akerman'!L6+'Samuel Akerman'!L7</f>
        <v>15</v>
      </c>
      <c r="U6">
        <f>'Edoardo Cavallero'!M5+'Edoardo Cavallero'!M6+'Michael Laszlo'!M6+'Michael Laszlo'!M7+'Zixuan Cheng'!M5+'Zhehao Liao'!M5+'Zhehao Liao'!M6+'Samuel Akerman'!M6+'Samuel Akerman'!M7</f>
        <v>6</v>
      </c>
    </row>
    <row r="7">
      <c r="A7" s="8">
        <v>3.0</v>
      </c>
      <c r="B7" s="13"/>
      <c r="C7" s="13"/>
    </row>
    <row r="8">
      <c r="A8" s="8"/>
      <c r="B8" s="13"/>
      <c r="C8" s="13"/>
    </row>
    <row r="9">
      <c r="A9" s="8"/>
      <c r="B9" s="13"/>
      <c r="C9" s="13"/>
    </row>
    <row r="10">
      <c r="A10" s="13"/>
      <c r="B10" s="13"/>
      <c r="C1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44.88"/>
    <col customWidth="1" min="15" max="15" width="17.75"/>
  </cols>
  <sheetData>
    <row r="1">
      <c r="A1" s="14" t="s">
        <v>37</v>
      </c>
      <c r="G1" s="13"/>
      <c r="H1" s="13"/>
      <c r="I1" s="13"/>
      <c r="J1" s="13"/>
      <c r="K1" s="13"/>
      <c r="L1" s="13"/>
      <c r="M1" s="15"/>
      <c r="N1" s="15"/>
      <c r="O1" s="15"/>
      <c r="P1" s="15"/>
      <c r="Q1" s="15"/>
      <c r="R1" s="15"/>
      <c r="S1" s="13"/>
      <c r="T1" s="13"/>
      <c r="U1" s="13"/>
      <c r="V1" s="13"/>
      <c r="W1" s="13"/>
      <c r="X1" s="13"/>
      <c r="Y1" s="13"/>
      <c r="Z1" s="13"/>
      <c r="AA1" s="13"/>
    </row>
    <row r="2">
      <c r="A2" s="2" t="s">
        <v>38</v>
      </c>
      <c r="B2" s="2" t="s">
        <v>3</v>
      </c>
      <c r="C2" s="5" t="s">
        <v>39</v>
      </c>
      <c r="D2" s="5" t="s">
        <v>40</v>
      </c>
      <c r="E2" s="2" t="s">
        <v>41</v>
      </c>
      <c r="F2" s="2" t="s">
        <v>42</v>
      </c>
      <c r="G2" s="5" t="s">
        <v>16</v>
      </c>
      <c r="H2" s="5" t="s">
        <v>17</v>
      </c>
      <c r="I2" s="5" t="s">
        <v>18</v>
      </c>
      <c r="J2" s="5" t="s">
        <v>19</v>
      </c>
      <c r="K2" s="5" t="s">
        <v>20</v>
      </c>
      <c r="L2" s="5" t="s">
        <v>21</v>
      </c>
      <c r="M2" s="2" t="s">
        <v>22</v>
      </c>
      <c r="N2" s="2" t="s">
        <v>43</v>
      </c>
      <c r="O2" s="2" t="s">
        <v>44</v>
      </c>
      <c r="P2" s="2" t="s">
        <v>45</v>
      </c>
      <c r="Q2" s="3" t="s">
        <v>46</v>
      </c>
      <c r="R2" s="3" t="s">
        <v>47</v>
      </c>
      <c r="S2" s="5" t="s">
        <v>48</v>
      </c>
      <c r="T2" s="16" t="s">
        <v>49</v>
      </c>
      <c r="U2" s="17"/>
      <c r="V2" s="13"/>
      <c r="W2" s="13"/>
      <c r="X2" s="13"/>
      <c r="Y2" s="13"/>
      <c r="Z2" s="13"/>
      <c r="AA2" s="13"/>
    </row>
    <row r="3">
      <c r="A3" s="8">
        <v>1.0</v>
      </c>
      <c r="B3" s="8" t="s">
        <v>24</v>
      </c>
      <c r="C3" s="8">
        <f t="shared" ref="C3:C6" si="1">D3+E3</f>
        <v>9.5</v>
      </c>
      <c r="D3" s="8">
        <f t="shared" ref="D3:D6" si="2">SUM(G3:N3)</f>
        <v>7</v>
      </c>
      <c r="E3" s="8">
        <v>2.5</v>
      </c>
      <c r="F3" s="18" t="s">
        <v>50</v>
      </c>
      <c r="G3" s="8">
        <v>1.0</v>
      </c>
      <c r="H3" s="8"/>
      <c r="I3" s="8">
        <v>0.5</v>
      </c>
      <c r="J3" s="8"/>
      <c r="K3" s="8"/>
      <c r="L3" s="8">
        <v>2.0</v>
      </c>
      <c r="M3" s="8">
        <v>1.0</v>
      </c>
      <c r="N3" s="8">
        <v>2.5</v>
      </c>
      <c r="O3" s="8" t="s">
        <v>51</v>
      </c>
      <c r="P3" s="8" t="s">
        <v>52</v>
      </c>
      <c r="Q3" s="8" t="s">
        <v>53</v>
      </c>
      <c r="R3" s="8" t="s">
        <v>54</v>
      </c>
      <c r="S3" s="8" t="s">
        <v>55</v>
      </c>
      <c r="T3" s="19">
        <v>45879.0</v>
      </c>
      <c r="U3" s="13"/>
      <c r="V3" s="13"/>
      <c r="W3" s="13"/>
      <c r="X3" s="13"/>
      <c r="Y3" s="13"/>
      <c r="Z3" s="13"/>
      <c r="AA3" s="13"/>
    </row>
    <row r="4">
      <c r="A4" s="8">
        <v>2.0</v>
      </c>
      <c r="B4" s="8" t="s">
        <v>56</v>
      </c>
      <c r="C4" s="8">
        <f t="shared" si="1"/>
        <v>15</v>
      </c>
      <c r="D4" s="8">
        <f t="shared" si="2"/>
        <v>13</v>
      </c>
      <c r="E4" s="8">
        <v>2.0</v>
      </c>
      <c r="F4" s="8" t="s">
        <v>57</v>
      </c>
      <c r="G4" s="8">
        <v>1.0</v>
      </c>
      <c r="H4" s="8"/>
      <c r="I4" s="8">
        <v>2.5</v>
      </c>
      <c r="J4" s="8">
        <v>7.5</v>
      </c>
      <c r="K4" s="13"/>
      <c r="L4" s="8">
        <v>1.0</v>
      </c>
      <c r="M4" s="8">
        <v>0.5</v>
      </c>
      <c r="N4" s="8">
        <v>0.5</v>
      </c>
      <c r="O4" s="13"/>
      <c r="P4" s="8" t="s">
        <v>58</v>
      </c>
      <c r="Q4" s="13"/>
      <c r="R4" s="13"/>
      <c r="S4" s="8" t="s">
        <v>59</v>
      </c>
      <c r="T4" s="8">
        <v>15.0</v>
      </c>
      <c r="U4" s="13"/>
      <c r="V4" s="13"/>
      <c r="W4" s="13"/>
      <c r="X4" s="13"/>
      <c r="Y4" s="13"/>
      <c r="Z4" s="13"/>
      <c r="AA4" s="13"/>
    </row>
    <row r="5">
      <c r="A5" s="8">
        <v>3.0</v>
      </c>
      <c r="B5" s="8" t="s">
        <v>60</v>
      </c>
      <c r="C5" s="13">
        <f t="shared" si="1"/>
        <v>10</v>
      </c>
      <c r="D5" s="13">
        <f t="shared" si="2"/>
        <v>7</v>
      </c>
      <c r="E5" s="8">
        <v>3.0</v>
      </c>
      <c r="F5" s="8" t="s">
        <v>61</v>
      </c>
      <c r="G5" s="8">
        <v>1.5</v>
      </c>
      <c r="H5" s="8">
        <v>2.0</v>
      </c>
      <c r="I5" s="8">
        <v>1.5</v>
      </c>
      <c r="J5" s="13"/>
      <c r="K5" s="13"/>
      <c r="L5" s="8">
        <v>2.0</v>
      </c>
      <c r="M5" s="13"/>
      <c r="N5" s="13"/>
      <c r="O5" s="8" t="s">
        <v>62</v>
      </c>
      <c r="P5" s="8" t="s">
        <v>63</v>
      </c>
      <c r="Q5" s="13"/>
      <c r="R5" s="13"/>
      <c r="S5" s="8" t="s">
        <v>64</v>
      </c>
      <c r="T5" s="8">
        <v>15.0</v>
      </c>
      <c r="U5" s="13"/>
      <c r="V5" s="13"/>
      <c r="W5" s="13"/>
      <c r="X5" s="13"/>
      <c r="Y5" s="13"/>
      <c r="Z5" s="13"/>
      <c r="AA5" s="13"/>
    </row>
    <row r="6">
      <c r="A6" s="8">
        <v>4.0</v>
      </c>
      <c r="B6" s="8" t="s">
        <v>65</v>
      </c>
      <c r="C6" s="13">
        <f t="shared" si="1"/>
        <v>16</v>
      </c>
      <c r="D6" s="13">
        <f t="shared" si="2"/>
        <v>15</v>
      </c>
      <c r="E6" s="8">
        <v>1.0</v>
      </c>
      <c r="F6" s="8" t="s">
        <v>66</v>
      </c>
      <c r="G6" s="8">
        <v>2.5</v>
      </c>
      <c r="H6" s="13"/>
      <c r="I6" s="8">
        <v>3.0</v>
      </c>
      <c r="J6" s="8">
        <v>4.0</v>
      </c>
      <c r="K6" s="8">
        <v>1.0</v>
      </c>
      <c r="L6" s="8">
        <v>1.0</v>
      </c>
      <c r="M6" s="13"/>
      <c r="N6" s="8">
        <v>3.5</v>
      </c>
      <c r="O6" s="8" t="s">
        <v>62</v>
      </c>
      <c r="P6" s="8" t="s">
        <v>67</v>
      </c>
      <c r="Q6" s="13"/>
      <c r="R6" s="13"/>
      <c r="S6" s="8" t="s">
        <v>68</v>
      </c>
      <c r="T6" s="8">
        <v>10.0</v>
      </c>
      <c r="U6" s="13"/>
      <c r="V6" s="13"/>
      <c r="W6" s="13"/>
      <c r="X6" s="13"/>
      <c r="Y6" s="13"/>
      <c r="Z6" s="13"/>
      <c r="AA6" s="13"/>
    </row>
    <row r="7">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sheetData>
  <mergeCells count="1">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10.13"/>
    <col customWidth="1" min="3" max="3" width="19.63"/>
    <col customWidth="1" min="4" max="4" width="8.38"/>
    <col customWidth="1" min="5" max="5" width="7.13"/>
    <col customWidth="1" min="6" max="6" width="63.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0" t="s">
        <v>69</v>
      </c>
      <c r="G1" s="21"/>
      <c r="H1" s="21"/>
      <c r="I1" s="21"/>
      <c r="J1" s="21"/>
      <c r="K1" s="21"/>
      <c r="L1" s="21"/>
      <c r="M1" s="20"/>
      <c r="N1" s="20"/>
      <c r="O1" s="20"/>
      <c r="P1" s="20"/>
      <c r="Q1" s="8"/>
      <c r="R1" s="8"/>
      <c r="S1" s="21"/>
      <c r="T1" s="21"/>
      <c r="U1" s="13"/>
      <c r="V1" s="13"/>
      <c r="W1" s="13"/>
    </row>
    <row r="2">
      <c r="A2" s="2" t="s">
        <v>38</v>
      </c>
      <c r="B2" s="2" t="s">
        <v>3</v>
      </c>
      <c r="C2" s="5" t="s">
        <v>39</v>
      </c>
      <c r="D2" s="5" t="s">
        <v>40</v>
      </c>
      <c r="E2" s="2" t="s">
        <v>41</v>
      </c>
      <c r="F2" s="2" t="s">
        <v>42</v>
      </c>
      <c r="G2" s="5" t="s">
        <v>16</v>
      </c>
      <c r="H2" s="5" t="s">
        <v>17</v>
      </c>
      <c r="I2" s="5" t="s">
        <v>18</v>
      </c>
      <c r="J2" s="5" t="s">
        <v>19</v>
      </c>
      <c r="K2" s="5" t="s">
        <v>20</v>
      </c>
      <c r="L2" s="5" t="s">
        <v>21</v>
      </c>
      <c r="M2" s="2" t="s">
        <v>22</v>
      </c>
      <c r="N2" s="2" t="s">
        <v>43</v>
      </c>
      <c r="O2" s="2" t="s">
        <v>44</v>
      </c>
      <c r="P2" s="2" t="s">
        <v>45</v>
      </c>
      <c r="Q2" s="3" t="s">
        <v>46</v>
      </c>
      <c r="R2" s="3" t="s">
        <v>47</v>
      </c>
      <c r="S2" s="5" t="s">
        <v>48</v>
      </c>
      <c r="T2" s="16" t="s">
        <v>49</v>
      </c>
      <c r="U2" s="17"/>
      <c r="V2" s="17"/>
      <c r="W2" s="17"/>
      <c r="X2" s="6"/>
      <c r="Y2" s="6"/>
      <c r="Z2" s="6"/>
      <c r="AA2" s="6"/>
    </row>
    <row r="3">
      <c r="A3" s="8">
        <v>1.0</v>
      </c>
      <c r="B3" s="8" t="s">
        <v>24</v>
      </c>
      <c r="C3" s="8">
        <f>D3+E3</f>
        <v>7.5</v>
      </c>
      <c r="D3" s="8">
        <f>sum(G3:N3)</f>
        <v>5.5</v>
      </c>
      <c r="E3" s="8">
        <v>2.0</v>
      </c>
      <c r="F3" s="8" t="s">
        <v>70</v>
      </c>
      <c r="G3" s="8">
        <v>2.0</v>
      </c>
      <c r="H3" s="8">
        <v>1.0</v>
      </c>
      <c r="I3" s="13"/>
      <c r="J3" s="13"/>
      <c r="K3" s="13"/>
      <c r="L3" s="8">
        <v>2.0</v>
      </c>
      <c r="M3" s="8">
        <v>0.5</v>
      </c>
      <c r="N3" s="8"/>
      <c r="O3" s="8" t="s">
        <v>71</v>
      </c>
      <c r="P3" s="8" t="s">
        <v>72</v>
      </c>
      <c r="Q3" s="8" t="s">
        <v>73</v>
      </c>
      <c r="R3" s="8" t="s">
        <v>74</v>
      </c>
      <c r="S3" s="8" t="s">
        <v>75</v>
      </c>
      <c r="T3" s="8">
        <v>6.0</v>
      </c>
      <c r="U3" s="13"/>
      <c r="V3" s="13"/>
      <c r="W3" s="13"/>
    </row>
    <row r="4">
      <c r="A4" s="11">
        <v>2.0</v>
      </c>
      <c r="B4" s="11" t="s">
        <v>76</v>
      </c>
      <c r="C4">
        <f>(SUM(G4:N4))</f>
        <v>19</v>
      </c>
      <c r="D4">
        <f>(SUM(H4+G4+I4+J4+K4+M4+N4))</f>
        <v>15</v>
      </c>
      <c r="E4" s="11">
        <v>4.0</v>
      </c>
      <c r="F4" s="11" t="s">
        <v>77</v>
      </c>
      <c r="G4" s="8">
        <v>5.0</v>
      </c>
      <c r="H4" s="8">
        <v>2.0</v>
      </c>
      <c r="I4" s="8">
        <v>1.0</v>
      </c>
      <c r="J4" s="8">
        <v>2.0</v>
      </c>
      <c r="K4" s="8">
        <v>0.0</v>
      </c>
      <c r="L4" s="8">
        <v>4.0</v>
      </c>
      <c r="M4" s="8">
        <v>5.0</v>
      </c>
      <c r="N4" s="8">
        <v>0.0</v>
      </c>
      <c r="O4" s="8" t="s">
        <v>78</v>
      </c>
      <c r="P4" s="22" t="s">
        <v>79</v>
      </c>
      <c r="Q4" s="8" t="s">
        <v>80</v>
      </c>
      <c r="R4" s="8" t="s">
        <v>81</v>
      </c>
      <c r="S4" s="8" t="s">
        <v>82</v>
      </c>
      <c r="T4" s="8">
        <v>10.0</v>
      </c>
      <c r="U4" s="13"/>
      <c r="V4" s="13"/>
      <c r="W4" s="13"/>
    </row>
    <row r="5">
      <c r="A5" s="11">
        <v>3.0</v>
      </c>
      <c r="B5" s="11" t="s">
        <v>83</v>
      </c>
      <c r="C5" s="11">
        <v>10.0</v>
      </c>
      <c r="D5" s="11">
        <v>8.0</v>
      </c>
      <c r="E5" s="11">
        <v>2.0</v>
      </c>
      <c r="F5" s="23" t="s">
        <v>84</v>
      </c>
      <c r="G5" s="8">
        <v>2.0</v>
      </c>
      <c r="H5" s="8">
        <v>0.0</v>
      </c>
      <c r="I5" s="8">
        <v>2.0</v>
      </c>
      <c r="J5" s="8">
        <v>4.0</v>
      </c>
      <c r="K5" s="8">
        <v>2.0</v>
      </c>
      <c r="L5" s="8">
        <v>0.0</v>
      </c>
      <c r="M5" s="8">
        <v>2.0</v>
      </c>
      <c r="N5" s="8">
        <v>0.0</v>
      </c>
      <c r="O5" s="8" t="s">
        <v>85</v>
      </c>
      <c r="P5" s="22" t="s">
        <v>86</v>
      </c>
      <c r="Q5" s="13"/>
      <c r="R5" s="8" t="s">
        <v>87</v>
      </c>
      <c r="S5" s="8"/>
      <c r="T5" s="8">
        <v>10.0</v>
      </c>
      <c r="U5" s="13"/>
      <c r="V5" s="13"/>
      <c r="W5" s="13"/>
    </row>
    <row r="6">
      <c r="A6" s="11">
        <v>4.0</v>
      </c>
      <c r="B6" s="11" t="s">
        <v>88</v>
      </c>
      <c r="C6" s="11">
        <v>10.0</v>
      </c>
      <c r="D6" s="11">
        <v>8.0</v>
      </c>
      <c r="E6" s="11">
        <v>2.0</v>
      </c>
      <c r="F6" s="11" t="s">
        <v>89</v>
      </c>
      <c r="G6" s="8">
        <v>1.0</v>
      </c>
      <c r="H6" s="8">
        <v>0.0</v>
      </c>
      <c r="I6" s="8">
        <v>0.0</v>
      </c>
      <c r="J6" s="8">
        <v>6.0</v>
      </c>
      <c r="K6" s="8">
        <v>2.0</v>
      </c>
      <c r="L6" s="8">
        <v>0.0</v>
      </c>
      <c r="M6" s="8">
        <v>2.0</v>
      </c>
      <c r="N6" s="8">
        <v>0.0</v>
      </c>
      <c r="O6" s="8" t="s">
        <v>90</v>
      </c>
      <c r="P6" s="8" t="s">
        <v>91</v>
      </c>
      <c r="Q6" s="13"/>
      <c r="R6" s="8" t="s">
        <v>92</v>
      </c>
      <c r="S6" s="8" t="s">
        <v>93</v>
      </c>
      <c r="T6" s="8">
        <v>10.0</v>
      </c>
      <c r="U6" s="13"/>
      <c r="V6" s="13"/>
      <c r="W6" s="13"/>
    </row>
    <row r="7">
      <c r="A7" s="11">
        <v>5.0</v>
      </c>
      <c r="B7" s="11" t="s">
        <v>94</v>
      </c>
      <c r="C7" s="11">
        <v>10.0</v>
      </c>
      <c r="D7" s="11">
        <v>8.0</v>
      </c>
      <c r="E7" s="11">
        <v>2.0</v>
      </c>
      <c r="F7" s="23" t="s">
        <v>95</v>
      </c>
      <c r="G7" s="8">
        <v>2.0</v>
      </c>
      <c r="H7" s="8">
        <v>0.0</v>
      </c>
      <c r="I7" s="8">
        <v>1.0</v>
      </c>
      <c r="J7" s="8">
        <v>4.0</v>
      </c>
      <c r="K7" s="8">
        <v>2.0</v>
      </c>
      <c r="L7" s="8">
        <v>0.0</v>
      </c>
      <c r="M7" s="8">
        <v>1.0</v>
      </c>
      <c r="N7" s="8">
        <v>0.0</v>
      </c>
      <c r="O7" s="8" t="s">
        <v>90</v>
      </c>
      <c r="P7" s="8" t="s">
        <v>96</v>
      </c>
      <c r="Q7" s="13"/>
      <c r="R7" s="8" t="s">
        <v>97</v>
      </c>
      <c r="S7" s="8" t="s">
        <v>98</v>
      </c>
      <c r="T7" s="8">
        <v>10.0</v>
      </c>
      <c r="U7" s="13"/>
      <c r="V7" s="13"/>
      <c r="W7" s="13"/>
    </row>
    <row r="8">
      <c r="G8" s="13"/>
      <c r="H8" s="13"/>
      <c r="I8" s="13"/>
      <c r="J8" s="13"/>
      <c r="K8" s="13"/>
      <c r="L8" s="13"/>
      <c r="M8" s="13"/>
      <c r="N8" s="13"/>
      <c r="O8" s="13"/>
      <c r="P8" s="13"/>
      <c r="Q8" s="13"/>
      <c r="R8" s="8"/>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hyperlinks>
    <hyperlink r:id="rId1" ref="P4"/>
    <hyperlink r:id="rId2" ref="F5"/>
    <hyperlink r:id="rId3" ref="P5"/>
    <hyperlink r:id="rId4" ref="F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2.88"/>
    <col customWidth="1" min="15" max="15" width="36.25"/>
    <col customWidth="1" min="16" max="16" width="24.63"/>
    <col customWidth="1" min="17" max="17" width="23.25"/>
    <col customWidth="1" min="18" max="18" width="23.0"/>
    <col customWidth="1" min="19" max="19" width="25.13"/>
  </cols>
  <sheetData>
    <row r="1">
      <c r="A1" s="24" t="s">
        <v>99</v>
      </c>
      <c r="B1" s="14"/>
      <c r="C1" s="14"/>
      <c r="D1" s="14"/>
      <c r="E1" s="14"/>
      <c r="F1" s="14"/>
      <c r="G1" s="21"/>
      <c r="H1" s="21"/>
      <c r="I1" s="21"/>
      <c r="J1" s="21"/>
      <c r="K1" s="21"/>
      <c r="L1" s="21"/>
      <c r="M1" s="20"/>
      <c r="N1" s="20"/>
      <c r="O1" s="20"/>
      <c r="P1" s="20"/>
      <c r="Q1" s="8"/>
      <c r="R1" s="8"/>
      <c r="S1" s="21"/>
      <c r="T1" s="21"/>
    </row>
    <row r="2">
      <c r="A2" s="14" t="s">
        <v>100</v>
      </c>
      <c r="G2" s="21"/>
      <c r="H2" s="21"/>
      <c r="I2" s="21"/>
      <c r="J2" s="21"/>
      <c r="K2" s="21"/>
      <c r="L2" s="21"/>
      <c r="M2" s="20"/>
      <c r="N2" s="20"/>
      <c r="O2" s="20"/>
      <c r="P2" s="20"/>
      <c r="Q2" s="8"/>
      <c r="R2" s="8"/>
      <c r="S2" s="21"/>
      <c r="T2" s="21"/>
    </row>
    <row r="3">
      <c r="A3" s="2" t="s">
        <v>38</v>
      </c>
      <c r="B3" s="2" t="s">
        <v>3</v>
      </c>
      <c r="C3" s="5" t="s">
        <v>39</v>
      </c>
      <c r="D3" s="5" t="s">
        <v>40</v>
      </c>
      <c r="E3" s="2" t="s">
        <v>41</v>
      </c>
      <c r="F3" s="2" t="s">
        <v>42</v>
      </c>
      <c r="G3" s="5" t="s">
        <v>16</v>
      </c>
      <c r="H3" s="5" t="s">
        <v>17</v>
      </c>
      <c r="I3" s="5" t="s">
        <v>18</v>
      </c>
      <c r="J3" s="5" t="s">
        <v>19</v>
      </c>
      <c r="K3" s="5" t="s">
        <v>20</v>
      </c>
      <c r="L3" s="5" t="s">
        <v>21</v>
      </c>
      <c r="M3" s="2" t="s">
        <v>22</v>
      </c>
      <c r="N3" s="2" t="s">
        <v>43</v>
      </c>
      <c r="O3" s="2" t="s">
        <v>44</v>
      </c>
      <c r="P3" s="2" t="s">
        <v>45</v>
      </c>
      <c r="Q3" s="3" t="s">
        <v>46</v>
      </c>
      <c r="R3" s="3" t="s">
        <v>47</v>
      </c>
      <c r="S3" s="5" t="s">
        <v>48</v>
      </c>
      <c r="T3" s="16" t="s">
        <v>49</v>
      </c>
    </row>
    <row r="4">
      <c r="A4" s="8">
        <v>1.0</v>
      </c>
      <c r="B4" s="8" t="s">
        <v>24</v>
      </c>
      <c r="C4" s="8">
        <f t="shared" ref="C4:C6" si="1">D4+E4</f>
        <v>5.5</v>
      </c>
      <c r="D4" s="8">
        <f t="shared" ref="D4:D6" si="2">sum(G4:N4)</f>
        <v>4.5</v>
      </c>
      <c r="E4" s="8">
        <v>1.0</v>
      </c>
      <c r="F4" s="8" t="s">
        <v>101</v>
      </c>
      <c r="G4" s="8">
        <v>2.0</v>
      </c>
      <c r="H4" s="8">
        <v>1.0</v>
      </c>
      <c r="I4" s="8">
        <v>0.5</v>
      </c>
      <c r="J4" s="8">
        <v>0.0</v>
      </c>
      <c r="K4" s="8">
        <v>0.0</v>
      </c>
      <c r="L4" s="8">
        <v>0.5</v>
      </c>
      <c r="M4" s="8">
        <v>0.5</v>
      </c>
      <c r="N4" s="8">
        <v>0.0</v>
      </c>
      <c r="O4" s="8" t="s">
        <v>102</v>
      </c>
      <c r="P4" s="8" t="s">
        <v>103</v>
      </c>
      <c r="Q4" s="8" t="s">
        <v>104</v>
      </c>
      <c r="R4" s="8" t="s">
        <v>105</v>
      </c>
      <c r="S4" s="8" t="s">
        <v>106</v>
      </c>
      <c r="T4" s="8">
        <v>6.0</v>
      </c>
    </row>
    <row r="5" ht="229.5" customHeight="1">
      <c r="A5" s="11">
        <v>2.0</v>
      </c>
      <c r="B5" s="11" t="s">
        <v>107</v>
      </c>
      <c r="C5" s="8">
        <f t="shared" si="1"/>
        <v>19.5</v>
      </c>
      <c r="D5" s="8">
        <f t="shared" si="2"/>
        <v>18.5</v>
      </c>
      <c r="E5" s="8">
        <v>1.0</v>
      </c>
      <c r="F5" s="8" t="s">
        <v>108</v>
      </c>
      <c r="G5" s="11">
        <v>3.0</v>
      </c>
      <c r="H5" s="11">
        <v>1.0</v>
      </c>
      <c r="I5" s="11">
        <v>0.5</v>
      </c>
      <c r="J5" s="11">
        <v>7.0</v>
      </c>
      <c r="K5" s="11">
        <v>2.0</v>
      </c>
      <c r="L5" s="11">
        <v>2.0</v>
      </c>
      <c r="M5" s="11">
        <v>1.0</v>
      </c>
      <c r="N5" s="11">
        <v>2.0</v>
      </c>
      <c r="O5" s="25" t="s">
        <v>109</v>
      </c>
      <c r="P5" s="8" t="s">
        <v>110</v>
      </c>
      <c r="Q5" s="8" t="s">
        <v>111</v>
      </c>
      <c r="R5" s="8" t="s">
        <v>112</v>
      </c>
      <c r="S5" s="8" t="s">
        <v>113</v>
      </c>
      <c r="T5" s="11">
        <v>15.0</v>
      </c>
    </row>
    <row r="6" ht="290.25" customHeight="1">
      <c r="A6" s="11">
        <v>3.0</v>
      </c>
      <c r="B6" s="11" t="s">
        <v>114</v>
      </c>
      <c r="C6" s="8">
        <f t="shared" si="1"/>
        <v>12.5</v>
      </c>
      <c r="D6" s="8">
        <f t="shared" si="2"/>
        <v>11.5</v>
      </c>
      <c r="E6" s="8">
        <v>1.0</v>
      </c>
      <c r="F6" s="8" t="s">
        <v>115</v>
      </c>
      <c r="G6" s="8">
        <v>2.0</v>
      </c>
      <c r="H6" s="8">
        <v>1.0</v>
      </c>
      <c r="I6" s="8">
        <v>0.5</v>
      </c>
      <c r="J6" s="8">
        <v>5.0</v>
      </c>
      <c r="K6" s="8">
        <v>1.0</v>
      </c>
      <c r="L6" s="8">
        <v>1.0</v>
      </c>
      <c r="M6" s="8">
        <v>0.5</v>
      </c>
      <c r="N6" s="8">
        <v>0.5</v>
      </c>
      <c r="O6" s="8" t="s">
        <v>116</v>
      </c>
      <c r="P6" s="8" t="s">
        <v>117</v>
      </c>
      <c r="Q6" s="8" t="s">
        <v>118</v>
      </c>
      <c r="R6" s="8" t="s">
        <v>119</v>
      </c>
      <c r="S6" s="8" t="s">
        <v>120</v>
      </c>
      <c r="T6" s="11">
        <v>10.0</v>
      </c>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6" t="s">
        <v>121</v>
      </c>
      <c r="G1" s="21"/>
      <c r="H1" s="21"/>
      <c r="I1" s="21"/>
      <c r="J1" s="21"/>
      <c r="K1" s="21"/>
      <c r="L1" s="21"/>
      <c r="M1" s="20"/>
      <c r="N1" s="20"/>
      <c r="O1" s="20"/>
      <c r="P1" s="20"/>
      <c r="Q1" s="8"/>
      <c r="R1" s="8"/>
      <c r="S1" s="21"/>
      <c r="T1" s="21"/>
      <c r="U1" s="13"/>
      <c r="V1" s="13"/>
      <c r="W1" s="13"/>
    </row>
    <row r="2">
      <c r="A2" s="2" t="s">
        <v>38</v>
      </c>
      <c r="B2" s="2" t="s">
        <v>3</v>
      </c>
      <c r="C2" s="5" t="s">
        <v>39</v>
      </c>
      <c r="D2" s="5" t="s">
        <v>40</v>
      </c>
      <c r="E2" s="2" t="s">
        <v>41</v>
      </c>
      <c r="F2" s="2" t="s">
        <v>42</v>
      </c>
      <c r="G2" s="5" t="s">
        <v>16</v>
      </c>
      <c r="H2" s="5" t="s">
        <v>17</v>
      </c>
      <c r="I2" s="5" t="s">
        <v>18</v>
      </c>
      <c r="J2" s="5" t="s">
        <v>19</v>
      </c>
      <c r="K2" s="5" t="s">
        <v>20</v>
      </c>
      <c r="L2" s="5" t="s">
        <v>21</v>
      </c>
      <c r="M2" s="2" t="s">
        <v>22</v>
      </c>
      <c r="N2" s="2" t="s">
        <v>43</v>
      </c>
      <c r="O2" s="2" t="s">
        <v>44</v>
      </c>
      <c r="P2" s="2" t="s">
        <v>45</v>
      </c>
      <c r="Q2" s="3" t="s">
        <v>46</v>
      </c>
      <c r="R2" s="3" t="s">
        <v>47</v>
      </c>
      <c r="S2" s="5" t="s">
        <v>48</v>
      </c>
      <c r="T2" s="16" t="s">
        <v>49</v>
      </c>
      <c r="U2" s="17"/>
      <c r="V2" s="17"/>
      <c r="W2" s="17"/>
      <c r="X2" s="6"/>
      <c r="Y2" s="6"/>
      <c r="Z2" s="6"/>
      <c r="AA2" s="6"/>
    </row>
    <row r="3">
      <c r="A3" s="12">
        <v>1.0</v>
      </c>
      <c r="B3" s="12" t="s">
        <v>24</v>
      </c>
      <c r="C3" s="12">
        <f t="shared" ref="C3:C6" si="1">D3+E3</f>
        <v>14</v>
      </c>
      <c r="D3" s="12">
        <f t="shared" ref="D3:D6" si="2">sum(G3:N3)</f>
        <v>12</v>
      </c>
      <c r="E3" s="12">
        <v>2.0</v>
      </c>
      <c r="F3" s="12" t="s">
        <v>122</v>
      </c>
      <c r="G3" s="12">
        <v>3.0</v>
      </c>
      <c r="H3" s="12">
        <v>3.0</v>
      </c>
      <c r="I3" s="12">
        <v>1.0</v>
      </c>
      <c r="J3" s="12">
        <v>0.0</v>
      </c>
      <c r="K3" s="12">
        <v>0.0</v>
      </c>
      <c r="L3" s="12">
        <v>2.0</v>
      </c>
      <c r="M3" s="12">
        <v>1.0</v>
      </c>
      <c r="N3" s="12">
        <v>2.0</v>
      </c>
      <c r="O3" s="12" t="s">
        <v>123</v>
      </c>
      <c r="P3" s="12" t="s">
        <v>124</v>
      </c>
      <c r="Q3" s="12" t="s">
        <v>125</v>
      </c>
      <c r="R3" s="12" t="s">
        <v>126</v>
      </c>
      <c r="S3" s="12" t="s">
        <v>127</v>
      </c>
      <c r="T3" s="12">
        <v>15.0</v>
      </c>
      <c r="U3" s="13"/>
      <c r="V3" s="13"/>
      <c r="W3" s="13"/>
      <c r="X3" s="13"/>
      <c r="Y3" s="13"/>
      <c r="Z3" s="13"/>
      <c r="AA3" s="13"/>
    </row>
    <row r="4">
      <c r="A4" s="27">
        <v>45691.0</v>
      </c>
      <c r="B4" s="12" t="s">
        <v>29</v>
      </c>
      <c r="C4">
        <f t="shared" si="1"/>
        <v>16</v>
      </c>
      <c r="D4">
        <f t="shared" si="2"/>
        <v>14</v>
      </c>
      <c r="E4" s="11">
        <v>2.0</v>
      </c>
      <c r="F4" s="12" t="s">
        <v>128</v>
      </c>
      <c r="G4" s="8">
        <v>3.0</v>
      </c>
      <c r="H4" s="8">
        <v>4.0</v>
      </c>
      <c r="I4" s="8">
        <v>0.0</v>
      </c>
      <c r="J4" s="8">
        <v>0.0</v>
      </c>
      <c r="K4" s="8">
        <v>0.0</v>
      </c>
      <c r="L4" s="8">
        <v>3.0</v>
      </c>
      <c r="M4" s="8">
        <v>0.0</v>
      </c>
      <c r="N4" s="8">
        <v>4.0</v>
      </c>
      <c r="O4" s="8" t="s">
        <v>129</v>
      </c>
      <c r="P4" s="8" t="s">
        <v>130</v>
      </c>
      <c r="Q4" s="8" t="s">
        <v>131</v>
      </c>
      <c r="R4" s="8" t="s">
        <v>132</v>
      </c>
      <c r="S4" s="8" t="s">
        <v>133</v>
      </c>
      <c r="T4" s="8">
        <v>15.0</v>
      </c>
      <c r="U4" s="13"/>
      <c r="V4" s="13"/>
      <c r="W4" s="13"/>
    </row>
    <row r="5">
      <c r="A5" s="11">
        <v>4.0</v>
      </c>
      <c r="B5" s="12" t="s">
        <v>134</v>
      </c>
      <c r="C5">
        <f t="shared" si="1"/>
        <v>16</v>
      </c>
      <c r="D5">
        <f t="shared" si="2"/>
        <v>14</v>
      </c>
      <c r="E5" s="11">
        <v>2.0</v>
      </c>
      <c r="F5" s="12" t="s">
        <v>135</v>
      </c>
      <c r="G5" s="11">
        <v>3.0</v>
      </c>
      <c r="H5" s="11">
        <v>4.0</v>
      </c>
      <c r="I5" s="11">
        <v>0.0</v>
      </c>
      <c r="J5" s="11">
        <v>3.0</v>
      </c>
      <c r="K5" s="11">
        <v>0.0</v>
      </c>
      <c r="L5" s="11">
        <v>3.0</v>
      </c>
      <c r="M5" s="11">
        <v>0.0</v>
      </c>
      <c r="N5" s="11">
        <v>1.0</v>
      </c>
      <c r="O5" s="8" t="s">
        <v>136</v>
      </c>
      <c r="P5" s="8" t="s">
        <v>137</v>
      </c>
      <c r="Q5" s="8" t="s">
        <v>138</v>
      </c>
      <c r="R5" s="8" t="s">
        <v>139</v>
      </c>
      <c r="S5" s="8" t="s">
        <v>140</v>
      </c>
      <c r="T5" s="11">
        <v>15.0</v>
      </c>
      <c r="U5" s="13"/>
      <c r="V5" s="13"/>
      <c r="W5" s="13"/>
    </row>
    <row r="6">
      <c r="A6" s="11">
        <v>5.0</v>
      </c>
      <c r="B6" s="11" t="s">
        <v>141</v>
      </c>
      <c r="C6">
        <f t="shared" si="1"/>
        <v>19</v>
      </c>
      <c r="D6">
        <f t="shared" si="2"/>
        <v>17</v>
      </c>
      <c r="E6" s="11">
        <v>2.0</v>
      </c>
      <c r="F6" s="12" t="s">
        <v>142</v>
      </c>
      <c r="G6" s="8">
        <v>3.0</v>
      </c>
      <c r="H6" s="8">
        <v>4.0</v>
      </c>
      <c r="I6" s="8">
        <v>0.0</v>
      </c>
      <c r="J6" s="8">
        <v>3.0</v>
      </c>
      <c r="K6" s="8">
        <v>2.0</v>
      </c>
      <c r="L6" s="8">
        <v>3.0</v>
      </c>
      <c r="M6" s="8">
        <v>0.0</v>
      </c>
      <c r="N6" s="8">
        <v>2.0</v>
      </c>
      <c r="O6" s="8" t="s">
        <v>143</v>
      </c>
      <c r="P6" s="8" t="s">
        <v>144</v>
      </c>
      <c r="Q6" s="8" t="s">
        <v>145</v>
      </c>
      <c r="R6" s="8" t="s">
        <v>146</v>
      </c>
      <c r="S6" s="8" t="s">
        <v>147</v>
      </c>
      <c r="T6" s="8">
        <v>15.0</v>
      </c>
      <c r="U6" s="13"/>
      <c r="V6" s="13"/>
      <c r="W6" s="13"/>
    </row>
    <row r="7">
      <c r="G7" s="13"/>
      <c r="H7" s="13"/>
      <c r="I7" s="13"/>
      <c r="J7" s="13"/>
      <c r="K7" s="13"/>
      <c r="L7" s="13"/>
      <c r="M7" s="13"/>
      <c r="N7" s="13"/>
      <c r="O7" s="13"/>
      <c r="P7" s="13"/>
      <c r="Q7" s="13"/>
      <c r="R7" s="13"/>
      <c r="T7" s="13"/>
      <c r="U7" s="13"/>
      <c r="V7" s="13"/>
      <c r="W7" s="13"/>
    </row>
    <row r="8">
      <c r="G8" s="13"/>
      <c r="H8" s="13"/>
      <c r="I8" s="13"/>
      <c r="J8" s="13"/>
      <c r="K8" s="13"/>
      <c r="L8" s="13"/>
      <c r="M8" s="13"/>
      <c r="N8" s="13"/>
      <c r="O8" s="13"/>
      <c r="P8" s="13"/>
      <c r="Q8" s="13"/>
      <c r="R8" s="13"/>
      <c r="T8" s="13"/>
      <c r="U8" s="13"/>
      <c r="V8" s="13"/>
      <c r="W8" s="13"/>
    </row>
    <row r="9">
      <c r="G9" s="13"/>
      <c r="H9" s="13"/>
      <c r="I9" s="13"/>
      <c r="J9" s="13"/>
      <c r="K9" s="13"/>
      <c r="L9" s="13"/>
      <c r="M9" s="13"/>
      <c r="N9" s="13"/>
      <c r="O9" s="13"/>
      <c r="P9" s="13"/>
      <c r="Q9" s="13"/>
      <c r="R9" s="13"/>
      <c r="T9" s="13"/>
      <c r="U9" s="13"/>
      <c r="V9" s="13"/>
      <c r="W9" s="13"/>
    </row>
    <row r="10">
      <c r="G10" s="13"/>
      <c r="H10" s="13"/>
      <c r="I10" s="13"/>
      <c r="J10" s="13"/>
      <c r="K10" s="13"/>
      <c r="L10" s="13"/>
      <c r="M10" s="13"/>
      <c r="N10" s="13"/>
      <c r="O10" s="13"/>
      <c r="P10" s="13"/>
      <c r="Q10" s="13"/>
      <c r="R10" s="13"/>
      <c r="T10" s="13"/>
      <c r="U10" s="13"/>
      <c r="V10" s="13"/>
      <c r="W10" s="13"/>
    </row>
    <row r="11">
      <c r="G11" s="13"/>
      <c r="H11" s="13"/>
      <c r="I11" s="13"/>
      <c r="J11" s="13"/>
      <c r="K11" s="13"/>
      <c r="L11" s="13"/>
      <c r="M11" s="13"/>
      <c r="N11" s="13"/>
      <c r="O11" s="13"/>
      <c r="P11" s="13"/>
      <c r="Q11" s="13"/>
      <c r="R11" s="13"/>
      <c r="T11" s="13"/>
      <c r="U11" s="13"/>
      <c r="V11" s="13"/>
      <c r="W11" s="13"/>
    </row>
    <row r="12">
      <c r="G12" s="13"/>
      <c r="H12" s="13"/>
      <c r="I12" s="13"/>
      <c r="J12" s="13"/>
      <c r="K12" s="13"/>
      <c r="L12" s="13"/>
      <c r="M12" s="13"/>
      <c r="N12" s="13"/>
      <c r="O12" s="13"/>
      <c r="P12" s="13"/>
      <c r="Q12" s="13"/>
      <c r="R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51.7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24"/>
      <c r="B1" s="14"/>
      <c r="C1" s="14"/>
      <c r="D1" s="14"/>
      <c r="E1" s="14"/>
      <c r="F1" s="14"/>
      <c r="G1" s="21"/>
      <c r="H1" s="21"/>
      <c r="I1" s="21"/>
      <c r="J1" s="21"/>
      <c r="K1" s="21"/>
      <c r="L1" s="21"/>
      <c r="M1" s="20"/>
      <c r="N1" s="20"/>
      <c r="O1" s="20"/>
      <c r="P1" s="20"/>
      <c r="Q1" s="8"/>
      <c r="R1" s="8"/>
      <c r="S1" s="21"/>
      <c r="T1" s="21"/>
      <c r="U1" s="13"/>
      <c r="V1" s="13"/>
      <c r="W1" s="13"/>
    </row>
    <row r="2" ht="39.75" customHeight="1">
      <c r="A2" s="26" t="s">
        <v>148</v>
      </c>
      <c r="G2" s="21"/>
      <c r="H2" s="21"/>
      <c r="I2" s="21"/>
      <c r="J2" s="21"/>
      <c r="K2" s="21"/>
      <c r="L2" s="21"/>
      <c r="M2" s="20"/>
      <c r="N2" s="20"/>
      <c r="O2" s="20"/>
      <c r="P2" s="20"/>
      <c r="Q2" s="8"/>
      <c r="R2" s="8"/>
      <c r="S2" s="21"/>
      <c r="T2" s="21"/>
      <c r="U2" s="13"/>
      <c r="V2" s="13"/>
      <c r="W2" s="13"/>
    </row>
    <row r="3">
      <c r="A3" s="2" t="s">
        <v>38</v>
      </c>
      <c r="B3" s="2" t="s">
        <v>3</v>
      </c>
      <c r="C3" s="5" t="s">
        <v>39</v>
      </c>
      <c r="D3" s="5" t="s">
        <v>40</v>
      </c>
      <c r="E3" s="2" t="s">
        <v>41</v>
      </c>
      <c r="F3" s="2" t="s">
        <v>42</v>
      </c>
      <c r="G3" s="5" t="s">
        <v>16</v>
      </c>
      <c r="H3" s="5" t="s">
        <v>17</v>
      </c>
      <c r="I3" s="5" t="s">
        <v>18</v>
      </c>
      <c r="J3" s="5" t="s">
        <v>19</v>
      </c>
      <c r="K3" s="5" t="s">
        <v>20</v>
      </c>
      <c r="L3" s="5" t="s">
        <v>21</v>
      </c>
      <c r="M3" s="2" t="s">
        <v>22</v>
      </c>
      <c r="N3" s="2" t="s">
        <v>43</v>
      </c>
      <c r="O3" s="2" t="s">
        <v>44</v>
      </c>
      <c r="P3" s="2" t="s">
        <v>45</v>
      </c>
      <c r="Q3" s="3" t="s">
        <v>46</v>
      </c>
      <c r="R3" s="3" t="s">
        <v>47</v>
      </c>
      <c r="S3" s="5" t="s">
        <v>48</v>
      </c>
      <c r="T3" s="16" t="s">
        <v>49</v>
      </c>
      <c r="U3" s="17"/>
      <c r="V3" s="17"/>
      <c r="W3" s="17"/>
      <c r="X3" s="6"/>
      <c r="Y3" s="6"/>
      <c r="Z3" s="6"/>
      <c r="AA3" s="6"/>
    </row>
    <row r="4">
      <c r="A4" s="12">
        <v>1.0</v>
      </c>
      <c r="B4" s="12" t="s">
        <v>24</v>
      </c>
      <c r="C4" s="12">
        <f t="shared" ref="C4:C5" si="1">D4+E4</f>
        <v>21</v>
      </c>
      <c r="D4" s="12">
        <v>19.0</v>
      </c>
      <c r="E4" s="12">
        <v>2.0</v>
      </c>
      <c r="F4" s="12" t="s">
        <v>149</v>
      </c>
      <c r="G4" s="12">
        <v>5.0</v>
      </c>
      <c r="H4" s="12">
        <v>2.0</v>
      </c>
      <c r="I4" s="12">
        <v>2.0</v>
      </c>
      <c r="J4" s="12">
        <v>0.0</v>
      </c>
      <c r="K4" s="12">
        <v>0.0</v>
      </c>
      <c r="L4" s="12">
        <v>5.0</v>
      </c>
      <c r="M4" s="12">
        <v>2.0</v>
      </c>
      <c r="N4" s="12">
        <v>3.0</v>
      </c>
      <c r="O4" s="12" t="s">
        <v>150</v>
      </c>
      <c r="P4" s="12" t="s">
        <v>151</v>
      </c>
      <c r="Q4" s="12" t="s">
        <v>152</v>
      </c>
      <c r="R4" s="12" t="s">
        <v>153</v>
      </c>
      <c r="S4" s="8" t="s">
        <v>154</v>
      </c>
      <c r="T4" s="8">
        <v>10.0</v>
      </c>
      <c r="U4" s="13"/>
      <c r="V4" s="13"/>
      <c r="W4" s="28"/>
      <c r="X4" s="29"/>
      <c r="Y4" s="29"/>
      <c r="Z4" s="29"/>
      <c r="AA4" s="29"/>
    </row>
    <row r="5">
      <c r="A5" s="27">
        <v>45691.0</v>
      </c>
      <c r="B5" s="12" t="s">
        <v>29</v>
      </c>
      <c r="C5">
        <f t="shared" si="1"/>
        <v>22</v>
      </c>
      <c r="D5">
        <f>sum(G5:N5)</f>
        <v>20</v>
      </c>
      <c r="E5" s="11">
        <v>2.0</v>
      </c>
      <c r="F5" s="11" t="s">
        <v>155</v>
      </c>
      <c r="G5" s="8">
        <v>5.0</v>
      </c>
      <c r="H5" s="8">
        <v>3.0</v>
      </c>
      <c r="I5" s="8">
        <v>2.0</v>
      </c>
      <c r="J5" s="8">
        <v>5.0</v>
      </c>
      <c r="K5" s="8">
        <v>3.0</v>
      </c>
      <c r="L5" s="8">
        <v>1.0</v>
      </c>
      <c r="M5" s="8">
        <v>1.0</v>
      </c>
      <c r="N5" s="8">
        <v>0.0</v>
      </c>
      <c r="O5" s="8" t="s">
        <v>156</v>
      </c>
      <c r="P5" s="12" t="s">
        <v>157</v>
      </c>
      <c r="Q5" s="12" t="s">
        <v>158</v>
      </c>
      <c r="R5" s="12" t="s">
        <v>159</v>
      </c>
      <c r="S5" s="8" t="s">
        <v>160</v>
      </c>
      <c r="T5" s="8">
        <v>20.0</v>
      </c>
      <c r="U5" s="13"/>
      <c r="V5" s="13"/>
      <c r="W5" s="13"/>
    </row>
    <row r="6">
      <c r="A6" s="11">
        <v>4.0</v>
      </c>
      <c r="B6" s="12" t="s">
        <v>134</v>
      </c>
      <c r="F6" s="11" t="s">
        <v>161</v>
      </c>
      <c r="G6" s="8">
        <v>1.0</v>
      </c>
      <c r="H6" s="8">
        <v>0.0</v>
      </c>
      <c r="I6" s="8">
        <v>10.0</v>
      </c>
      <c r="J6" s="8">
        <v>5.0</v>
      </c>
      <c r="K6" s="8">
        <v>3.0</v>
      </c>
      <c r="L6" s="8">
        <v>2.0</v>
      </c>
      <c r="M6" s="8">
        <v>1.0</v>
      </c>
      <c r="N6" s="8">
        <v>0.0</v>
      </c>
      <c r="O6" s="8" t="s">
        <v>162</v>
      </c>
      <c r="P6" s="12" t="s">
        <v>163</v>
      </c>
      <c r="Q6" s="8" t="s">
        <v>164</v>
      </c>
      <c r="R6" s="8" t="s">
        <v>165</v>
      </c>
      <c r="S6" s="8" t="s">
        <v>166</v>
      </c>
      <c r="T6" s="8">
        <v>15.0</v>
      </c>
      <c r="U6" s="13"/>
      <c r="V6" s="13"/>
      <c r="W6" s="13"/>
    </row>
    <row r="7">
      <c r="A7" s="11">
        <v>5.0</v>
      </c>
      <c r="B7" s="12" t="s">
        <v>141</v>
      </c>
      <c r="F7" s="11" t="s">
        <v>167</v>
      </c>
      <c r="G7" s="8">
        <v>1.0</v>
      </c>
      <c r="H7" s="8">
        <v>0.0</v>
      </c>
      <c r="I7" s="8">
        <v>5.0</v>
      </c>
      <c r="J7" s="8">
        <v>5.0</v>
      </c>
      <c r="K7" s="8">
        <v>3.0</v>
      </c>
      <c r="L7" s="8">
        <v>2.0</v>
      </c>
      <c r="M7" s="8">
        <v>1.0</v>
      </c>
      <c r="N7" s="8">
        <v>2.0</v>
      </c>
      <c r="O7" s="8" t="s">
        <v>168</v>
      </c>
      <c r="P7" s="12" t="s">
        <v>169</v>
      </c>
      <c r="Q7" s="8" t="s">
        <v>170</v>
      </c>
      <c r="R7" s="8" t="s">
        <v>165</v>
      </c>
      <c r="S7" s="8" t="s">
        <v>171</v>
      </c>
      <c r="T7" s="8"/>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row r="1002">
      <c r="G1002" s="13"/>
      <c r="H1002" s="13"/>
      <c r="I1002" s="13"/>
      <c r="J1002" s="13"/>
      <c r="K1002" s="13"/>
      <c r="L1002" s="13"/>
      <c r="M1002" s="13"/>
      <c r="N1002" s="13"/>
      <c r="O1002" s="13"/>
      <c r="P1002" s="13"/>
      <c r="Q1002" s="13"/>
      <c r="R1002" s="13"/>
      <c r="S1002" s="13"/>
      <c r="T1002" s="13"/>
      <c r="U1002" s="13"/>
      <c r="V1002" s="13"/>
      <c r="W1002" s="13"/>
    </row>
    <row r="1003">
      <c r="G1003" s="13"/>
      <c r="H1003" s="13"/>
      <c r="I1003" s="13"/>
      <c r="J1003" s="13"/>
      <c r="K1003" s="13"/>
      <c r="L1003" s="13"/>
      <c r="M1003" s="13"/>
      <c r="N1003" s="13"/>
      <c r="O1003" s="13"/>
      <c r="P1003" s="13"/>
      <c r="Q1003" s="13"/>
      <c r="R1003" s="13"/>
      <c r="S1003" s="13"/>
      <c r="T1003" s="13"/>
      <c r="U1003" s="13"/>
      <c r="V1003" s="13"/>
      <c r="W1003" s="13"/>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24"/>
      <c r="B1" s="14"/>
      <c r="C1" s="14"/>
      <c r="D1" s="14"/>
      <c r="E1" s="14"/>
      <c r="F1" s="14"/>
      <c r="G1" s="21"/>
      <c r="H1" s="21"/>
      <c r="I1" s="21"/>
      <c r="J1" s="21"/>
      <c r="K1" s="21"/>
      <c r="L1" s="21"/>
      <c r="M1" s="20"/>
      <c r="N1" s="20"/>
      <c r="O1" s="20"/>
      <c r="P1" s="20"/>
      <c r="Q1" s="8"/>
      <c r="R1" s="8"/>
      <c r="S1" s="21"/>
      <c r="T1" s="21"/>
      <c r="U1" s="13"/>
      <c r="V1" s="13"/>
      <c r="W1" s="13"/>
    </row>
    <row r="2" ht="39.75" customHeight="1">
      <c r="A2" s="14" t="s">
        <v>172</v>
      </c>
      <c r="G2" s="21"/>
      <c r="H2" s="21"/>
      <c r="I2" s="21"/>
      <c r="J2" s="21"/>
      <c r="K2" s="21"/>
      <c r="L2" s="21"/>
      <c r="M2" s="20"/>
      <c r="N2" s="20"/>
      <c r="O2" s="20"/>
      <c r="P2" s="20"/>
      <c r="Q2" s="8"/>
      <c r="R2" s="8"/>
      <c r="S2" s="21"/>
      <c r="T2" s="21"/>
      <c r="U2" s="13"/>
      <c r="V2" s="13"/>
      <c r="W2" s="13"/>
    </row>
    <row r="3">
      <c r="A3" s="2" t="s">
        <v>38</v>
      </c>
      <c r="B3" s="2" t="s">
        <v>3</v>
      </c>
      <c r="C3" s="5" t="s">
        <v>39</v>
      </c>
      <c r="D3" s="5" t="s">
        <v>40</v>
      </c>
      <c r="E3" s="2" t="s">
        <v>41</v>
      </c>
      <c r="F3" s="2" t="s">
        <v>42</v>
      </c>
      <c r="G3" s="5" t="s">
        <v>16</v>
      </c>
      <c r="H3" s="5" t="s">
        <v>17</v>
      </c>
      <c r="I3" s="5" t="s">
        <v>18</v>
      </c>
      <c r="J3" s="5" t="s">
        <v>19</v>
      </c>
      <c r="K3" s="5" t="s">
        <v>20</v>
      </c>
      <c r="L3" s="5" t="s">
        <v>21</v>
      </c>
      <c r="M3" s="2" t="s">
        <v>22</v>
      </c>
      <c r="N3" s="2" t="s">
        <v>43</v>
      </c>
      <c r="O3" s="2" t="s">
        <v>44</v>
      </c>
      <c r="P3" s="2" t="s">
        <v>45</v>
      </c>
      <c r="Q3" s="3" t="s">
        <v>46</v>
      </c>
      <c r="R3" s="3" t="s">
        <v>47</v>
      </c>
      <c r="S3" s="5" t="s">
        <v>48</v>
      </c>
      <c r="T3" s="16" t="s">
        <v>49</v>
      </c>
      <c r="U3" s="17"/>
      <c r="V3" s="17"/>
      <c r="W3" s="17"/>
      <c r="X3" s="6"/>
      <c r="Y3" s="6"/>
      <c r="Z3" s="6"/>
      <c r="AA3" s="6"/>
    </row>
    <row r="4">
      <c r="A4" s="8">
        <v>1.0</v>
      </c>
      <c r="B4" s="8" t="s">
        <v>24</v>
      </c>
      <c r="C4" s="8">
        <f>D4+E4</f>
        <v>9</v>
      </c>
      <c r="D4" s="8">
        <f>sum(G4:N4)</f>
        <v>7</v>
      </c>
      <c r="E4" s="8">
        <v>2.0</v>
      </c>
      <c r="F4" s="8" t="s">
        <v>173</v>
      </c>
      <c r="G4" s="8">
        <v>3.0</v>
      </c>
      <c r="H4" s="8"/>
      <c r="I4" s="13"/>
      <c r="J4" s="13"/>
      <c r="K4" s="13"/>
      <c r="L4" s="8">
        <v>3.0</v>
      </c>
      <c r="M4" s="8">
        <v>0.5</v>
      </c>
      <c r="N4" s="8">
        <v>0.5</v>
      </c>
      <c r="O4" s="8" t="s">
        <v>174</v>
      </c>
      <c r="P4" s="8" t="s">
        <v>175</v>
      </c>
      <c r="Q4" s="8" t="s">
        <v>176</v>
      </c>
      <c r="R4" s="8" t="s">
        <v>177</v>
      </c>
      <c r="S4" s="8" t="s">
        <v>178</v>
      </c>
      <c r="T4" s="8">
        <v>8.0</v>
      </c>
      <c r="U4" s="13"/>
      <c r="V4" s="13"/>
      <c r="W4" s="13"/>
    </row>
    <row r="5">
      <c r="A5" s="27">
        <v>45691.0</v>
      </c>
      <c r="B5" s="11" t="s">
        <v>107</v>
      </c>
      <c r="C5" s="11">
        <v>20.0</v>
      </c>
      <c r="D5" s="11">
        <v>18.0</v>
      </c>
      <c r="E5" s="11">
        <v>2.0</v>
      </c>
      <c r="F5" s="11" t="s">
        <v>179</v>
      </c>
      <c r="G5" s="8">
        <v>4.0</v>
      </c>
      <c r="H5" s="8">
        <v>0.0</v>
      </c>
      <c r="I5" s="8">
        <v>2.0</v>
      </c>
      <c r="J5" s="8">
        <v>6.0</v>
      </c>
      <c r="K5" s="8">
        <v>4.0</v>
      </c>
      <c r="L5" s="8">
        <v>3.0</v>
      </c>
      <c r="M5" s="8">
        <v>1.0</v>
      </c>
      <c r="N5" s="8">
        <v>0.0</v>
      </c>
      <c r="O5" s="8" t="s">
        <v>180</v>
      </c>
      <c r="P5" s="8" t="s">
        <v>181</v>
      </c>
      <c r="Q5" s="8" t="s">
        <v>182</v>
      </c>
      <c r="R5" s="8" t="s">
        <v>183</v>
      </c>
      <c r="S5" s="8" t="s">
        <v>184</v>
      </c>
      <c r="T5" s="8">
        <v>10.0</v>
      </c>
      <c r="U5" s="13"/>
      <c r="V5" s="13"/>
      <c r="W5" s="13"/>
    </row>
    <row r="6">
      <c r="A6" s="11">
        <v>4.0</v>
      </c>
      <c r="B6" s="11" t="s">
        <v>134</v>
      </c>
      <c r="E6" s="11">
        <v>1.0</v>
      </c>
      <c r="F6" s="11" t="s">
        <v>185</v>
      </c>
      <c r="G6" s="8">
        <v>0.0</v>
      </c>
      <c r="H6" s="8">
        <v>0.0</v>
      </c>
      <c r="I6" s="8">
        <v>6.0</v>
      </c>
      <c r="J6" s="8">
        <v>5.0</v>
      </c>
      <c r="K6" s="8">
        <v>3.0</v>
      </c>
      <c r="L6" s="8">
        <v>2.0</v>
      </c>
      <c r="M6" s="8">
        <v>0.0</v>
      </c>
      <c r="N6" s="8">
        <v>0.5</v>
      </c>
      <c r="O6" s="8" t="s">
        <v>186</v>
      </c>
      <c r="P6" s="8" t="s">
        <v>187</v>
      </c>
      <c r="Q6" s="8" t="s">
        <v>188</v>
      </c>
      <c r="R6" s="8" t="s">
        <v>189</v>
      </c>
      <c r="S6" s="8" t="s">
        <v>190</v>
      </c>
      <c r="T6" s="8">
        <v>20.0</v>
      </c>
      <c r="U6" s="13"/>
      <c r="V6" s="13"/>
      <c r="W6" s="13"/>
    </row>
    <row r="7">
      <c r="A7" s="11">
        <v>5.0</v>
      </c>
      <c r="B7" s="11" t="s">
        <v>141</v>
      </c>
      <c r="C7" s="11">
        <v>10.5</v>
      </c>
      <c r="D7" s="11">
        <v>9.5</v>
      </c>
      <c r="E7" s="11">
        <v>1.0</v>
      </c>
      <c r="F7" s="11" t="s">
        <v>191</v>
      </c>
      <c r="G7" s="8">
        <v>2.0</v>
      </c>
      <c r="H7" s="8">
        <v>0.0</v>
      </c>
      <c r="I7" s="8">
        <v>1.0</v>
      </c>
      <c r="J7" s="8">
        <v>2.0</v>
      </c>
      <c r="K7" s="8">
        <v>0.5</v>
      </c>
      <c r="L7" s="8">
        <v>1.0</v>
      </c>
      <c r="M7" s="8">
        <v>0.0</v>
      </c>
      <c r="N7" s="8">
        <v>3.0</v>
      </c>
      <c r="O7" s="8" t="s">
        <v>192</v>
      </c>
      <c r="P7" s="8" t="s">
        <v>193</v>
      </c>
      <c r="Q7" s="8" t="s">
        <v>194</v>
      </c>
      <c r="R7" s="8" t="s">
        <v>195</v>
      </c>
      <c r="S7" s="8" t="s">
        <v>196</v>
      </c>
      <c r="T7" s="8">
        <v>15.0</v>
      </c>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row r="1002">
      <c r="G1002" s="13"/>
      <c r="H1002" s="13"/>
      <c r="I1002" s="13"/>
      <c r="J1002" s="13"/>
      <c r="K1002" s="13"/>
      <c r="L1002" s="13"/>
      <c r="M1002" s="13"/>
      <c r="N1002" s="13"/>
      <c r="O1002" s="13"/>
      <c r="P1002" s="13"/>
      <c r="Q1002" s="13"/>
      <c r="R1002" s="13"/>
      <c r="S1002" s="13"/>
      <c r="T1002" s="13"/>
      <c r="U1002" s="13"/>
      <c r="V1002" s="13"/>
      <c r="W1002" s="13"/>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63"/>
    <col customWidth="1" min="8" max="8" width="17.0"/>
  </cols>
  <sheetData>
    <row r="1" ht="27.0" customHeight="1">
      <c r="A1" s="30" t="s">
        <v>197</v>
      </c>
      <c r="B1" s="31"/>
      <c r="C1" s="31"/>
      <c r="D1" s="31"/>
      <c r="E1" s="31"/>
      <c r="F1" s="31"/>
      <c r="G1" s="31"/>
      <c r="H1" s="31"/>
      <c r="I1" s="31"/>
      <c r="J1" s="31"/>
      <c r="K1" s="32"/>
      <c r="L1" s="32"/>
      <c r="M1" s="32"/>
      <c r="N1" s="32"/>
      <c r="O1" s="32"/>
      <c r="P1" s="32"/>
      <c r="Q1" s="32"/>
      <c r="R1" s="32"/>
      <c r="S1" s="32"/>
      <c r="T1" s="32"/>
      <c r="U1" s="32"/>
      <c r="V1" s="32"/>
      <c r="W1" s="32"/>
      <c r="X1" s="32"/>
      <c r="Y1" s="32"/>
      <c r="Z1" s="32"/>
    </row>
    <row r="2">
      <c r="A2" s="33" t="s">
        <v>198</v>
      </c>
      <c r="B2" s="34" t="s">
        <v>199</v>
      </c>
      <c r="C2" s="34" t="s">
        <v>200</v>
      </c>
      <c r="D2" s="34" t="s">
        <v>201</v>
      </c>
      <c r="E2" s="34" t="s">
        <v>202</v>
      </c>
      <c r="F2" s="34" t="s">
        <v>203</v>
      </c>
      <c r="G2" s="34" t="s">
        <v>204</v>
      </c>
      <c r="H2" s="34" t="s">
        <v>205</v>
      </c>
      <c r="I2" s="34" t="s">
        <v>206</v>
      </c>
      <c r="J2" s="34" t="s">
        <v>207</v>
      </c>
      <c r="K2" s="35" t="s">
        <v>208</v>
      </c>
      <c r="L2" s="36"/>
      <c r="M2" s="36"/>
      <c r="N2" s="36"/>
      <c r="O2" s="36"/>
      <c r="P2" s="36"/>
      <c r="Q2" s="36"/>
      <c r="R2" s="36"/>
      <c r="S2" s="36"/>
      <c r="T2" s="36"/>
      <c r="U2" s="36"/>
      <c r="V2" s="36"/>
      <c r="W2" s="36"/>
      <c r="X2" s="36"/>
      <c r="Y2" s="36"/>
      <c r="Z2" s="36"/>
    </row>
  </sheetData>
  <drawing r:id="rId1"/>
</worksheet>
</file>